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ntries of Eurth" sheetId="1" state="visible" r:id="rId1"/>
    <sheet xmlns:r="http://schemas.openxmlformats.org/officeDocument/2006/relationships" name="Map data" sheetId="2" state="visible" r:id="rId2"/>
    <sheet xmlns:r="http://schemas.openxmlformats.org/officeDocument/2006/relationships" name="Diff" sheetId="3" state="visible" r:id="rId3"/>
  </sheets>
  <definedNames>
    <definedName name="_xlnm._FilterDatabase" localSheetId="1" hidden="1">'Map data'!$A$1:$S$130</definedName>
    <definedName name="_xlnm._FilterDatabase" localSheetId="2" hidden="1">'Diff'!$A$15:$W$145</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font>
    <font>
      <name val="Arial"/>
      <i val="1"/>
    </font>
    <font>
      <name val="Arial"/>
      <color rgb="FFFFFFFF"/>
    </font>
    <font>
      <name val="Arial"/>
      <color rgb="FF000000"/>
    </font>
    <font>
      <name val="Arial"/>
      <b val="1"/>
    </font>
  </fonts>
  <fills count="111">
    <fill>
      <patternFill/>
    </fill>
    <fill>
      <patternFill patternType="gray125"/>
    </fill>
    <fill>
      <patternFill patternType="solid">
        <fgColor rgb="FF00FFFF"/>
      </patternFill>
    </fill>
    <fill>
      <patternFill patternType="solid">
        <fgColor rgb="FF000000"/>
      </patternFill>
    </fill>
    <fill>
      <patternFill patternType="solid">
        <fgColor rgb="FF7B0528"/>
      </patternFill>
    </fill>
    <fill>
      <patternFill patternType="solid">
        <fgColor rgb="FFFFFFFF"/>
      </patternFill>
    </fill>
    <fill>
      <patternFill patternType="solid">
        <fgColor rgb="FFFECB07"/>
      </patternFill>
    </fill>
    <fill>
      <patternFill patternType="solid">
        <fgColor rgb="FF47AAFF"/>
      </patternFill>
    </fill>
    <fill>
      <patternFill patternType="solid">
        <fgColor rgb="FF001B4B"/>
      </patternFill>
    </fill>
    <fill>
      <patternFill patternType="solid">
        <fgColor rgb="FFB71F32"/>
      </patternFill>
    </fill>
    <fill>
      <patternFill patternType="solid">
        <fgColor rgb="FFBD0B31"/>
      </patternFill>
    </fill>
    <fill>
      <patternFill patternType="solid">
        <fgColor rgb="FFB50000"/>
      </patternFill>
    </fill>
    <fill>
      <patternFill patternType="solid">
        <fgColor rgb="FFFF8B00"/>
      </patternFill>
    </fill>
    <fill>
      <patternFill patternType="solid">
        <fgColor rgb="FF06166C"/>
      </patternFill>
    </fill>
    <fill>
      <patternFill patternType="solid">
        <fgColor rgb="FFFDBA0B"/>
      </patternFill>
    </fill>
    <fill>
      <patternFill patternType="solid">
        <fgColor rgb="FF1F41B4"/>
      </patternFill>
    </fill>
    <fill>
      <patternFill patternType="solid">
        <fgColor rgb="FF0E073D"/>
      </patternFill>
    </fill>
    <fill>
      <patternFill patternType="solid">
        <fgColor rgb="FF1183C4"/>
      </patternFill>
    </fill>
    <fill>
      <patternFill patternType="solid">
        <fgColor rgb="FFEBBE2D"/>
      </patternFill>
    </fill>
    <fill>
      <patternFill patternType="solid">
        <fgColor rgb="FFEE5C6D"/>
      </patternFill>
    </fill>
    <fill>
      <patternFill patternType="solid">
        <fgColor rgb="FF0064AC"/>
      </patternFill>
    </fill>
    <fill>
      <patternFill patternType="solid">
        <fgColor rgb="FF006A33"/>
      </patternFill>
    </fill>
    <fill>
      <patternFill patternType="solid">
        <fgColor rgb="FF0C692A"/>
      </patternFill>
    </fill>
    <fill>
      <patternFill patternType="solid">
        <fgColor rgb="FF480D27"/>
      </patternFill>
    </fill>
    <fill>
      <patternFill patternType="solid">
        <fgColor rgb="FF1A66A9"/>
      </patternFill>
    </fill>
    <fill>
      <patternFill patternType="solid">
        <fgColor rgb="FF216BAC"/>
      </patternFill>
    </fill>
    <fill>
      <patternFill patternType="solid">
        <fgColor rgb="FF05772A"/>
      </patternFill>
    </fill>
    <fill>
      <patternFill patternType="solid">
        <fgColor rgb="FF3B741F"/>
      </patternFill>
    </fill>
    <fill>
      <patternFill patternType="solid">
        <fgColor rgb="FF217919"/>
      </patternFill>
    </fill>
    <fill>
      <patternFill patternType="solid">
        <fgColor rgb="FF892D2D"/>
      </patternFill>
    </fill>
    <fill>
      <patternFill patternType="solid">
        <fgColor rgb="FF822436"/>
      </patternFill>
    </fill>
    <fill>
      <patternFill patternType="solid">
        <fgColor rgb="FF0C7123"/>
      </patternFill>
    </fill>
    <fill>
      <patternFill patternType="solid">
        <fgColor rgb="FFF48314"/>
      </patternFill>
    </fill>
    <fill>
      <patternFill patternType="solid">
        <fgColor rgb="FF9F2BF2"/>
      </patternFill>
    </fill>
    <fill>
      <patternFill patternType="solid">
        <fgColor rgb="FF0D406D"/>
      </patternFill>
    </fill>
    <fill>
      <patternFill patternType="solid">
        <fgColor rgb="FF540203"/>
      </patternFill>
    </fill>
    <fill>
      <patternFill patternType="solid">
        <fgColor rgb="FF029A63"/>
      </patternFill>
    </fill>
    <fill>
      <patternFill patternType="solid">
        <fgColor rgb="FFABCAE9"/>
      </patternFill>
    </fill>
    <fill>
      <patternFill patternType="solid">
        <fgColor rgb="FF002E5E"/>
      </patternFill>
    </fill>
    <fill>
      <patternFill patternType="solid">
        <fgColor rgb="FF1D2E4D"/>
      </patternFill>
    </fill>
    <fill>
      <patternFill patternType="solid">
        <fgColor rgb="FF7D0C0D"/>
      </patternFill>
    </fill>
    <fill>
      <patternFill patternType="solid">
        <fgColor rgb="FF00752B"/>
      </patternFill>
    </fill>
    <fill>
      <patternFill patternType="solid">
        <fgColor rgb="FFBDC0C9"/>
      </patternFill>
    </fill>
    <fill>
      <patternFill patternType="solid">
        <fgColor rgb="FF00788C"/>
      </patternFill>
    </fill>
    <fill>
      <patternFill patternType="solid">
        <fgColor rgb="FFF4CA52"/>
      </patternFill>
    </fill>
    <fill>
      <patternFill patternType="solid">
        <fgColor rgb="FFB52A18"/>
      </patternFill>
    </fill>
    <fill>
      <patternFill patternType="solid">
        <fgColor rgb="FF0E8769"/>
      </patternFill>
    </fill>
    <fill>
      <patternFill patternType="solid">
        <fgColor rgb="FFF8C91A"/>
      </patternFill>
    </fill>
    <fill>
      <patternFill patternType="solid">
        <fgColor rgb="FFDF8352"/>
      </patternFill>
    </fill>
    <fill>
      <patternFill patternType="solid">
        <fgColor rgb="FF0D8CE7"/>
      </patternFill>
    </fill>
    <fill>
      <patternFill patternType="solid">
        <fgColor rgb="FF0A8700"/>
      </patternFill>
    </fill>
    <fill>
      <patternFill patternType="solid">
        <fgColor rgb="FFAE001B"/>
      </patternFill>
    </fill>
    <fill>
      <patternFill patternType="solid">
        <fgColor rgb="FFB71137"/>
      </patternFill>
    </fill>
    <fill>
      <patternFill patternType="solid">
        <fgColor rgb="FF2490FF"/>
      </patternFill>
    </fill>
    <fill>
      <patternFill patternType="solid">
        <fgColor rgb="FFFBC61F"/>
      </patternFill>
    </fill>
    <fill>
      <patternFill patternType="solid">
        <fgColor rgb="FF00A2E8"/>
      </patternFill>
    </fill>
    <fill>
      <patternFill patternType="solid">
        <fgColor rgb="FF09224E"/>
      </patternFill>
    </fill>
    <fill>
      <patternFill patternType="solid">
        <fgColor rgb="FF267842"/>
      </patternFill>
    </fill>
    <fill>
      <patternFill patternType="solid">
        <fgColor rgb="FF0034A6"/>
      </patternFill>
    </fill>
    <fill>
      <patternFill patternType="solid">
        <fgColor rgb="FFCB6625"/>
      </patternFill>
    </fill>
    <fill>
      <patternFill patternType="solid">
        <fgColor rgb="FFE14743"/>
      </patternFill>
    </fill>
    <fill>
      <patternFill patternType="solid">
        <fgColor rgb="FF4DAC71"/>
      </patternFill>
    </fill>
    <fill>
      <patternFill patternType="solid">
        <fgColor rgb="FF003F89"/>
      </patternFill>
    </fill>
    <fill>
      <patternFill patternType="solid">
        <fgColor rgb="FF890101"/>
      </patternFill>
    </fill>
    <fill>
      <patternFill patternType="solid">
        <fgColor rgb="FFFFFA03"/>
      </patternFill>
    </fill>
    <fill>
      <patternFill patternType="solid">
        <fgColor rgb="FF117A65"/>
      </patternFill>
    </fill>
    <fill>
      <patternFill patternType="solid">
        <fgColor rgb="FFAC2A29"/>
      </patternFill>
    </fill>
    <fill>
      <patternFill patternType="solid">
        <fgColor rgb="FFCC0000"/>
      </patternFill>
    </fill>
    <fill>
      <patternFill patternType="solid">
        <fgColor rgb="FF1B1B1B"/>
      </patternFill>
    </fill>
    <fill>
      <patternFill patternType="solid">
        <fgColor rgb="FFFFCE00"/>
      </patternFill>
    </fill>
    <fill>
      <patternFill patternType="solid">
        <fgColor rgb="FF010066"/>
      </patternFill>
    </fill>
    <fill>
      <patternFill patternType="solid">
        <fgColor rgb="FFEEF2C1"/>
      </patternFill>
    </fill>
    <fill>
      <patternFill patternType="solid">
        <fgColor rgb="FF4D1D63"/>
      </patternFill>
    </fill>
    <fill>
      <patternFill patternType="solid">
        <fgColor rgb="FF27556F"/>
      </patternFill>
    </fill>
    <fill>
      <patternFill patternType="solid">
        <fgColor rgb="FFC0B446"/>
      </patternFill>
    </fill>
    <fill>
      <patternFill patternType="solid">
        <fgColor rgb="FF303097"/>
      </patternFill>
    </fill>
    <fill>
      <patternFill patternType="solid">
        <fgColor rgb="FF0094FF"/>
      </patternFill>
    </fill>
    <fill>
      <patternFill patternType="solid">
        <fgColor rgb="FFEECE05"/>
      </patternFill>
    </fill>
    <fill>
      <patternFill patternType="solid">
        <fgColor rgb="FF01356A"/>
      </patternFill>
    </fill>
    <fill>
      <patternFill patternType="solid">
        <fgColor rgb="FFB9112A"/>
      </patternFill>
    </fill>
    <fill>
      <patternFill patternType="solid">
        <fgColor rgb="FFF5BE51"/>
      </patternFill>
    </fill>
    <fill>
      <patternFill patternType="solid">
        <fgColor rgb="FFE0DD47"/>
      </patternFill>
    </fill>
    <fill>
      <patternFill patternType="solid">
        <fgColor rgb="FFD5750E"/>
      </patternFill>
    </fill>
    <fill>
      <patternFill patternType="solid">
        <fgColor rgb="FFFFDA00"/>
      </patternFill>
    </fill>
    <fill>
      <patternFill patternType="solid">
        <fgColor rgb="FF160E69"/>
      </patternFill>
    </fill>
    <fill>
      <patternFill patternType="solid">
        <fgColor rgb="FFC6000E"/>
      </patternFill>
    </fill>
    <fill>
      <patternFill patternType="solid">
        <fgColor rgb="FF790917"/>
      </patternFill>
    </fill>
    <fill>
      <patternFill patternType="solid">
        <fgColor rgb="FF951009"/>
      </patternFill>
    </fill>
    <fill>
      <patternFill patternType="solid">
        <fgColor rgb="FF102B5D"/>
      </patternFill>
    </fill>
    <fill>
      <patternFill patternType="solid">
        <fgColor rgb="FF5AB1BB"/>
      </patternFill>
    </fill>
    <fill>
      <patternFill patternType="solid">
        <fgColor rgb="FF008C45"/>
      </patternFill>
    </fill>
    <fill>
      <patternFill patternType="solid">
        <fgColor rgb="FF16FF00"/>
      </patternFill>
    </fill>
    <fill>
      <patternFill patternType="solid">
        <fgColor rgb="FFA547A5"/>
      </patternFill>
    </fill>
    <fill>
      <patternFill patternType="solid">
        <fgColor rgb="FFDC0000"/>
      </patternFill>
    </fill>
    <fill>
      <patternFill patternType="solid">
        <fgColor rgb="FF0A3D2A"/>
      </patternFill>
    </fill>
    <fill>
      <patternFill patternType="solid">
        <fgColor rgb="FF18981F"/>
      </patternFill>
    </fill>
    <fill>
      <patternFill patternType="solid">
        <fgColor rgb="FFA98702"/>
      </patternFill>
    </fill>
    <fill>
      <patternFill patternType="solid">
        <fgColor rgb="FFCE182A"/>
      </patternFill>
    </fill>
    <fill>
      <patternFill patternType="solid">
        <fgColor rgb="FF370000"/>
      </patternFill>
    </fill>
    <fill>
      <patternFill patternType="solid">
        <fgColor rgb="FF417745"/>
      </patternFill>
    </fill>
    <fill>
      <patternFill patternType="solid">
        <fgColor rgb="FF146590"/>
      </patternFill>
    </fill>
    <fill>
      <patternFill patternType="solid">
        <fgColor rgb="FFF2A800"/>
      </patternFill>
    </fill>
    <fill>
      <patternFill patternType="solid">
        <fgColor rgb="FF008B2E"/>
      </patternFill>
    </fill>
    <fill>
      <patternFill patternType="solid">
        <fgColor rgb="FF23672C"/>
      </patternFill>
    </fill>
    <fill>
      <patternFill patternType="solid">
        <fgColor rgb="FFEB934E"/>
      </patternFill>
    </fill>
    <fill>
      <patternFill patternType="solid">
        <fgColor rgb="FF5D8D10"/>
      </patternFill>
    </fill>
    <fill>
      <patternFill patternType="solid">
        <fgColor rgb="FFFF7D07"/>
      </patternFill>
    </fill>
    <fill>
      <patternFill patternType="solid">
        <fgColor rgb="FFF4C7C3"/>
      </patternFill>
    </fill>
    <fill>
      <patternFill patternType="solid">
        <fgColor rgb="FFFCE8B2"/>
      </patternFill>
    </fill>
    <fill>
      <patternFill patternType="solid">
        <fgColor rgb="FFD9EAD3"/>
      </patternFill>
    </fill>
    <fill>
      <patternFill patternType="solid">
        <fgColor rgb="FFEFEFEF"/>
      </patternFill>
    </fill>
  </fills>
  <borders count="1">
    <border>
      <left/>
      <right/>
      <top/>
      <bottom/>
      <diagonal/>
    </border>
  </borders>
  <cellStyleXfs count="1">
    <xf numFmtId="0" fontId="0" fillId="0" borderId="0"/>
  </cellStyleXfs>
  <cellXfs count="128">
    <xf numFmtId="0" fontId="0" fillId="0" borderId="0" pivotButton="0" quotePrefix="0" xfId="0"/>
    <xf numFmtId="0" fontId="1" fillId="2" borderId="0" applyAlignment="1" pivotButton="0" quotePrefix="0" xfId="0">
      <alignment horizontal="left" vertical="bottom" wrapText="1"/>
    </xf>
    <xf numFmtId="0" fontId="2" fillId="0" borderId="0" pivotButton="0" quotePrefix="0" xfId="0"/>
    <xf numFmtId="0" fontId="1" fillId="0" borderId="0" pivotButton="0" quotePrefix="0" xfId="0"/>
    <xf numFmtId="3" fontId="1" fillId="0" borderId="0" applyAlignment="1" pivotButton="0" quotePrefix="0" xfId="0">
      <alignment horizontal="right"/>
    </xf>
    <xf numFmtId="0" fontId="1" fillId="0" borderId="0" applyAlignment="1" pivotButton="0" quotePrefix="0" xfId="0">
      <alignment horizontal="right"/>
    </xf>
    <xf numFmtId="4" fontId="1" fillId="0" borderId="0" applyAlignment="1" pivotButton="0" quotePrefix="0" xfId="0">
      <alignment horizontal="right"/>
    </xf>
    <xf numFmtId="0" fontId="3" fillId="3" borderId="0" pivotButton="0" quotePrefix="0" xfId="0"/>
    <xf numFmtId="0" fontId="3" fillId="4" borderId="0" pivotButton="0" quotePrefix="0" xfId="0"/>
    <xf numFmtId="0" fontId="4" fillId="5" borderId="0" pivotButton="0" quotePrefix="0" xfId="0"/>
    <xf numFmtId="0" fontId="4" fillId="6" borderId="0" pivotButton="0" quotePrefix="0" xfId="0"/>
    <xf numFmtId="0" fontId="4" fillId="7" borderId="0" pivotButton="0" quotePrefix="0" xfId="0"/>
    <xf numFmtId="0" fontId="3" fillId="8" borderId="0" pivotButton="0" quotePrefix="0" xfId="0"/>
    <xf numFmtId="0" fontId="3" fillId="9" borderId="0" pivotButton="0" quotePrefix="0" xfId="0"/>
    <xf numFmtId="0" fontId="3" fillId="10" borderId="0" pivotButton="0" quotePrefix="0" xfId="0"/>
    <xf numFmtId="0" fontId="3" fillId="11" borderId="0" pivotButton="0" quotePrefix="0" xfId="0"/>
    <xf numFmtId="0" fontId="4" fillId="12" borderId="0" pivotButton="0" quotePrefix="0" xfId="0"/>
    <xf numFmtId="0" fontId="3" fillId="13" borderId="0" pivotButton="0" quotePrefix="0" xfId="0"/>
    <xf numFmtId="0" fontId="4" fillId="14" borderId="0" pivotButton="0" quotePrefix="0" xfId="0"/>
    <xf numFmtId="0" fontId="3" fillId="15" borderId="0" pivotButton="0" quotePrefix="0" xfId="0"/>
    <xf numFmtId="0" fontId="3" fillId="16" borderId="0" pivotButton="0" quotePrefix="0" xfId="0"/>
    <xf numFmtId="0" fontId="3" fillId="17" borderId="0" pivotButton="0" quotePrefix="0" xfId="0"/>
    <xf numFmtId="0" fontId="4" fillId="18" borderId="0" pivotButton="0" quotePrefix="0" xfId="0"/>
    <xf numFmtId="0" fontId="3" fillId="19" borderId="0" pivotButton="0" quotePrefix="0" xfId="0"/>
    <xf numFmtId="0" fontId="3" fillId="20" borderId="0" pivotButton="0" quotePrefix="0" xfId="0"/>
    <xf numFmtId="0" fontId="3" fillId="21" borderId="0" pivotButton="0" quotePrefix="0" xfId="0"/>
    <xf numFmtId="0" fontId="3" fillId="22" borderId="0" pivotButton="0" quotePrefix="0" xfId="0"/>
    <xf numFmtId="0" fontId="3" fillId="23" borderId="0" pivotButton="0" quotePrefix="0" xfId="0"/>
    <xf numFmtId="0" fontId="3" fillId="24" borderId="0" pivotButton="0" quotePrefix="0" xfId="0"/>
    <xf numFmtId="0" fontId="3" fillId="25" borderId="0" pivotButton="0" quotePrefix="0" xfId="0"/>
    <xf numFmtId="0" fontId="3" fillId="26" borderId="0" pivotButton="0" quotePrefix="0" xfId="0"/>
    <xf numFmtId="0" fontId="3" fillId="27" borderId="0" pivotButton="0" quotePrefix="0" xfId="0"/>
    <xf numFmtId="0" fontId="3" fillId="28" borderId="0" pivotButton="0" quotePrefix="0" xfId="0"/>
    <xf numFmtId="0" fontId="3" fillId="29" borderId="0" pivotButton="0" quotePrefix="0" xfId="0"/>
    <xf numFmtId="0" fontId="3" fillId="30" borderId="0" pivotButton="0" quotePrefix="0" xfId="0"/>
    <xf numFmtId="0" fontId="3" fillId="31" borderId="0" pivotButton="0" quotePrefix="0" xfId="0"/>
    <xf numFmtId="0" fontId="4" fillId="32" borderId="0" pivotButton="0" quotePrefix="0" xfId="0"/>
    <xf numFmtId="0" fontId="3" fillId="33" borderId="0" pivotButton="0" quotePrefix="0" xfId="0"/>
    <xf numFmtId="0" fontId="3" fillId="34" borderId="0" pivotButton="0" quotePrefix="0" xfId="0"/>
    <xf numFmtId="0" fontId="3" fillId="35" borderId="0" pivotButton="0" quotePrefix="0" xfId="0"/>
    <xf numFmtId="0" fontId="3" fillId="36" borderId="0" pivotButton="0" quotePrefix="0" xfId="0"/>
    <xf numFmtId="0" fontId="4" fillId="37" borderId="0" pivotButton="0" quotePrefix="0" xfId="0"/>
    <xf numFmtId="0" fontId="3" fillId="38" borderId="0" pivotButton="0" quotePrefix="0" xfId="0"/>
    <xf numFmtId="0" fontId="3" fillId="39" borderId="0" pivotButton="0" quotePrefix="0" xfId="0"/>
    <xf numFmtId="0" fontId="3" fillId="40" borderId="0" pivotButton="0" quotePrefix="0" xfId="0"/>
    <xf numFmtId="0" fontId="3" fillId="41" borderId="0" pivotButton="0" quotePrefix="0" xfId="0"/>
    <xf numFmtId="0" fontId="4" fillId="42" borderId="0" pivotButton="0" quotePrefix="0" xfId="0"/>
    <xf numFmtId="0" fontId="3" fillId="43" borderId="0" pivotButton="0" quotePrefix="0" xfId="0"/>
    <xf numFmtId="0" fontId="4" fillId="44" borderId="0" pivotButton="0" quotePrefix="0" xfId="0"/>
    <xf numFmtId="0" fontId="3" fillId="45" borderId="0" pivotButton="0" quotePrefix="0" xfId="0"/>
    <xf numFmtId="0" fontId="3" fillId="46" borderId="0" pivotButton="0" quotePrefix="0" xfId="0"/>
    <xf numFmtId="0" fontId="4" fillId="47" borderId="0" pivotButton="0" quotePrefix="0" xfId="0"/>
    <xf numFmtId="0" fontId="4" fillId="48" borderId="0" pivotButton="0" quotePrefix="0" xfId="0"/>
    <xf numFmtId="0" fontId="3" fillId="49" borderId="0" pivotButton="0" quotePrefix="0" xfId="0"/>
    <xf numFmtId="0" fontId="3" fillId="50" borderId="0" pivotButton="0" quotePrefix="0" xfId="0"/>
    <xf numFmtId="0" fontId="3" fillId="51" borderId="0" pivotButton="0" quotePrefix="0" xfId="0"/>
    <xf numFmtId="0" fontId="3" fillId="52" borderId="0" pivotButton="0" quotePrefix="0" xfId="0"/>
    <xf numFmtId="0" fontId="3" fillId="53" borderId="0" pivotButton="0" quotePrefix="0" xfId="0"/>
    <xf numFmtId="0" fontId="4" fillId="54" borderId="0" pivotButton="0" quotePrefix="0" xfId="0"/>
    <xf numFmtId="0" fontId="3" fillId="55" borderId="0" pivotButton="0" quotePrefix="0" xfId="0"/>
    <xf numFmtId="0" fontId="3" fillId="56" borderId="0" pivotButton="0" quotePrefix="0" xfId="0"/>
    <xf numFmtId="0" fontId="3" fillId="57" borderId="0" pivotButton="0" quotePrefix="0" xfId="0"/>
    <xf numFmtId="0" fontId="3" fillId="58" borderId="0" pivotButton="0" quotePrefix="0" xfId="0"/>
    <xf numFmtId="0" fontId="3" fillId="59" borderId="0" pivotButton="0" quotePrefix="0" xfId="0"/>
    <xf numFmtId="0" fontId="3" fillId="60" borderId="0" pivotButton="0" quotePrefix="0" xfId="0"/>
    <xf numFmtId="0" fontId="3" fillId="61" borderId="0" pivotButton="0" quotePrefix="0" xfId="0"/>
    <xf numFmtId="0" fontId="3" fillId="62" borderId="0" pivotButton="0" quotePrefix="0" xfId="0"/>
    <xf numFmtId="0" fontId="3" fillId="63" borderId="0" pivotButton="0" quotePrefix="0" xfId="0"/>
    <xf numFmtId="0" fontId="4" fillId="64" borderId="0" pivotButton="0" quotePrefix="0" xfId="0"/>
    <xf numFmtId="0" fontId="3" fillId="65" borderId="0" pivotButton="0" quotePrefix="0" xfId="0"/>
    <xf numFmtId="0" fontId="3" fillId="66" borderId="0" pivotButton="0" quotePrefix="0" xfId="0"/>
    <xf numFmtId="0" fontId="3" fillId="67" borderId="0" pivotButton="0" quotePrefix="0" xfId="0"/>
    <xf numFmtId="0" fontId="3" fillId="68" borderId="0" pivotButton="0" quotePrefix="0" xfId="0"/>
    <xf numFmtId="0" fontId="4" fillId="69" borderId="0" pivotButton="0" quotePrefix="0" xfId="0"/>
    <xf numFmtId="0" fontId="3" fillId="70" borderId="0" pivotButton="0" quotePrefix="0" xfId="0"/>
    <xf numFmtId="0" fontId="4" fillId="71" borderId="0" pivotButton="0" quotePrefix="0" xfId="0"/>
    <xf numFmtId="0" fontId="3" fillId="72" borderId="0" pivotButton="0" quotePrefix="0" xfId="0"/>
    <xf numFmtId="0" fontId="3" fillId="73" borderId="0" pivotButton="0" quotePrefix="0" xfId="0"/>
    <xf numFmtId="0" fontId="4" fillId="74" borderId="0" pivotButton="0" quotePrefix="0" xfId="0"/>
    <xf numFmtId="0" fontId="3" fillId="75" borderId="0" pivotButton="0" quotePrefix="0" xfId="0"/>
    <xf numFmtId="0" fontId="3" fillId="76" borderId="0" pivotButton="0" quotePrefix="0" xfId="0"/>
    <xf numFmtId="0" fontId="4" fillId="77" borderId="0" pivotButton="0" quotePrefix="0" xfId="0"/>
    <xf numFmtId="0" fontId="3" fillId="78" borderId="0" pivotButton="0" quotePrefix="0" xfId="0"/>
    <xf numFmtId="0" fontId="3" fillId="79" borderId="0" pivotButton="0" quotePrefix="0" xfId="0"/>
    <xf numFmtId="0" fontId="4" fillId="80" borderId="0" pivotButton="0" quotePrefix="0" xfId="0"/>
    <xf numFmtId="0" fontId="4" fillId="81" borderId="0" pivotButton="0" quotePrefix="0" xfId="0"/>
    <xf numFmtId="0" fontId="3" fillId="82" borderId="0" pivotButton="0" quotePrefix="0" xfId="0"/>
    <xf numFmtId="0" fontId="4" fillId="83" borderId="0" pivotButton="0" quotePrefix="0" xfId="0"/>
    <xf numFmtId="0" fontId="3" fillId="84" borderId="0" pivotButton="0" quotePrefix="0" xfId="0"/>
    <xf numFmtId="0" fontId="3" fillId="85" borderId="0" pivotButton="0" quotePrefix="0" xfId="0"/>
    <xf numFmtId="0" fontId="3" fillId="86" borderId="0" pivotButton="0" quotePrefix="0" xfId="0"/>
    <xf numFmtId="0" fontId="3" fillId="87" borderId="0" pivotButton="0" quotePrefix="0" xfId="0"/>
    <xf numFmtId="0" fontId="3" fillId="88" borderId="0" pivotButton="0" quotePrefix="0" xfId="0"/>
    <xf numFmtId="0" fontId="4" fillId="89" borderId="0" pivotButton="0" quotePrefix="0" xfId="0"/>
    <xf numFmtId="0" fontId="3" fillId="90" borderId="0" pivotButton="0" quotePrefix="0" xfId="0"/>
    <xf numFmtId="0" fontId="4" fillId="91" borderId="0" pivotButton="0" quotePrefix="0" xfId="0"/>
    <xf numFmtId="0" fontId="3" fillId="92" borderId="0" pivotButton="0" quotePrefix="0" xfId="0"/>
    <xf numFmtId="0" fontId="3" fillId="93" borderId="0" pivotButton="0" quotePrefix="0" xfId="0"/>
    <xf numFmtId="0" fontId="3" fillId="94" borderId="0" pivotButton="0" quotePrefix="0" xfId="0"/>
    <xf numFmtId="0" fontId="3" fillId="95" borderId="0" pivotButton="0" quotePrefix="0" xfId="0"/>
    <xf numFmtId="0" fontId="3" fillId="96" borderId="0" pivotButton="0" quotePrefix="0" xfId="0"/>
    <xf numFmtId="0" fontId="3" fillId="97" borderId="0" pivotButton="0" quotePrefix="0" xfId="0"/>
    <xf numFmtId="0" fontId="3" fillId="98" borderId="0" pivotButton="0" quotePrefix="0" xfId="0"/>
    <xf numFmtId="0" fontId="3" fillId="99" borderId="0" pivotButton="0" quotePrefix="0" xfId="0"/>
    <xf numFmtId="0" fontId="3" fillId="100" borderId="0" pivotButton="0" quotePrefix="0" xfId="0"/>
    <xf numFmtId="0" fontId="4" fillId="101" borderId="0" pivotButton="0" quotePrefix="0" xfId="0"/>
    <xf numFmtId="0" fontId="3" fillId="102" borderId="0" pivotButton="0" quotePrefix="0" xfId="0"/>
    <xf numFmtId="0" fontId="3" fillId="103" borderId="0" pivotButton="0" quotePrefix="0" xfId="0"/>
    <xf numFmtId="0" fontId="4" fillId="104" borderId="0" pivotButton="0" quotePrefix="0" xfId="0"/>
    <xf numFmtId="0" fontId="3" fillId="105" borderId="0" pivotButton="0" quotePrefix="0" xfId="0"/>
    <xf numFmtId="0" fontId="4" fillId="106" borderId="0" pivotButton="0" quotePrefix="0" xfId="0"/>
    <xf numFmtId="0" fontId="5" fillId="0" borderId="0" pivotButton="0" quotePrefix="0" xfId="0"/>
    <xf numFmtId="0" fontId="1" fillId="107" borderId="0" pivotButton="0" quotePrefix="0" xfId="0"/>
    <xf numFmtId="0" fontId="1" fillId="108" borderId="0" pivotButton="0" quotePrefix="0" xfId="0"/>
    <xf numFmtId="0" fontId="1" fillId="109" borderId="0" pivotButton="0" quotePrefix="0" xfId="0"/>
    <xf numFmtId="0" fontId="1" fillId="110" borderId="0" pivotButton="0" quotePrefix="0" xfId="0"/>
    <xf numFmtId="0" fontId="1" fillId="107" borderId="0" applyAlignment="1" pivotButton="0" quotePrefix="0" xfId="0">
      <alignment horizontal="right"/>
    </xf>
    <xf numFmtId="4" fontId="1" fillId="107" borderId="0" applyAlignment="1" pivotButton="0" quotePrefix="0" xfId="0">
      <alignment horizontal="right"/>
    </xf>
    <xf numFmtId="3" fontId="1" fillId="107" borderId="0" applyAlignment="1" pivotButton="0" quotePrefix="0" xfId="0">
      <alignment horizontal="right"/>
    </xf>
    <xf numFmtId="164" fontId="1" fillId="107" borderId="0" applyAlignment="1" pivotButton="0" quotePrefix="0" xfId="0">
      <alignment horizontal="right"/>
    </xf>
    <xf numFmtId="3" fontId="1" fillId="109" borderId="0" applyAlignment="1" pivotButton="0" quotePrefix="0" xfId="0">
      <alignment horizontal="right"/>
    </xf>
    <xf numFmtId="164" fontId="1" fillId="109" borderId="0" pivotButton="0" quotePrefix="0" xfId="0"/>
    <xf numFmtId="4" fontId="1" fillId="109" borderId="0" applyAlignment="1" pivotButton="0" quotePrefix="0" xfId="0">
      <alignment horizontal="right"/>
    </xf>
    <xf numFmtId="164" fontId="1" fillId="0" borderId="0" pivotButton="0" quotePrefix="0" xfId="0"/>
    <xf numFmtId="0" fontId="1" fillId="110" borderId="0" applyAlignment="1" pivotButton="0" quotePrefix="0" xfId="0">
      <alignment horizontal="right"/>
    </xf>
    <xf numFmtId="3" fontId="1" fillId="110" borderId="0" applyAlignment="1" pivotButton="0" quotePrefix="0" xfId="0">
      <alignment horizontal="right"/>
    </xf>
    <xf numFmtId="164" fontId="1" fillId="110" borderId="0" pivotButton="0" quotePrefix="0" xfId="0"/>
    <xf numFmtId="4" fontId="1" fillId="11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 customWidth="1" min="3" max="3"/>
    <col width="3" customWidth="1" min="4" max="4"/>
    <col width="12" customWidth="1" min="5" max="5"/>
    <col width="14" customWidth="1" min="6" max="6"/>
    <col width="12" customWidth="1" min="7" max="7"/>
  </cols>
  <sheetData>
    <row r="1">
      <c r="A1" s="1" t="inlineStr">
        <is>
          <t>Country</t>
        </is>
      </c>
      <c r="B1" s="1" t="inlineStr">
        <is>
          <t>Capital</t>
        </is>
      </c>
      <c r="E1" s="1" t="inlineStr">
        <is>
          <t>Area (km2)</t>
        </is>
      </c>
      <c r="F1" s="1" t="inlineStr">
        <is>
          <t>Population</t>
        </is>
      </c>
      <c r="G1" s="1" t="inlineStr">
        <is>
          <t>GDPPC</t>
        </is>
      </c>
      <c r="I1" s="2" t="inlineStr">
        <is>
          <t>From nation-data/Countries on Eurth.csv: the columns of the Google Sheet that the comparison reads, at the sheet's own rows and columns.</t>
        </is>
      </c>
    </row>
    <row r="2">
      <c r="A2" s="3" t="inlineStr">
        <is>
          <t>Abantium</t>
        </is>
      </c>
      <c r="B2" s="3" t="inlineStr">
        <is>
          <t>Inhlokodolobha</t>
        </is>
      </c>
      <c r="E2" s="4" t="n">
        <v>213180</v>
      </c>
      <c r="F2" s="4" t="n">
        <v>62000000</v>
      </c>
      <c r="G2" s="3" t="inlineStr">
        <is>
          <t>{{No|N/A}}</t>
        </is>
      </c>
    </row>
    <row r="3">
      <c r="A3" s="3" t="inlineStr">
        <is>
          <t>Adaptus</t>
        </is>
      </c>
      <c r="B3" s="3" t="inlineStr">
        <is>
          <t>Novumcastrum</t>
        </is>
      </c>
      <c r="E3" s="4" t="n">
        <v>1326602</v>
      </c>
      <c r="F3" s="4" t="n">
        <v>224540000</v>
      </c>
      <c r="G3" s="4" t="n">
        <v>30527</v>
      </c>
    </row>
    <row r="4">
      <c r="A4" s="3" t="inlineStr">
        <is>
          <t>Afropa</t>
        </is>
      </c>
      <c r="B4" s="3" t="inlineStr">
        <is>
          <t>Dieudonné</t>
        </is>
      </c>
      <c r="E4" s="4" t="n">
        <v>413741.14</v>
      </c>
      <c r="F4" s="4" t="n">
        <v>15300000</v>
      </c>
      <c r="G4" s="4" t="n">
        <v>6195</v>
      </c>
    </row>
    <row r="5">
      <c r="A5" s="3" t="inlineStr">
        <is>
          <t>Ahrana</t>
        </is>
      </c>
      <c r="B5" s="3" t="inlineStr">
        <is>
          <t>Moskovo</t>
        </is>
      </c>
      <c r="E5" s="4" t="n">
        <v>545650.22</v>
      </c>
      <c r="F5" s="4" t="n">
        <v>65900959</v>
      </c>
      <c r="G5" s="4" t="n">
        <v>5000</v>
      </c>
    </row>
    <row r="6">
      <c r="A6" s="3" t="inlineStr">
        <is>
          <t>Aldace</t>
        </is>
      </c>
      <c r="B6" s="3" t="inlineStr">
        <is>
          <t>Sotheris</t>
        </is>
      </c>
      <c r="E6" s="4" t="n">
        <v>411365</v>
      </c>
      <c r="F6" s="4" t="n">
        <v>22374652</v>
      </c>
      <c r="G6" s="4" t="n">
        <v>12564</v>
      </c>
    </row>
    <row r="7">
      <c r="A7" s="3" t="inlineStr">
        <is>
          <t>Alvernia</t>
        </is>
      </c>
      <c r="B7" s="3" t="inlineStr">
        <is>
          <t>Soncinia</t>
        </is>
      </c>
      <c r="E7" s="4" t="n">
        <v>165016</v>
      </c>
      <c r="F7" s="4" t="n">
        <v>9234678</v>
      </c>
      <c r="G7" s="4" t="n">
        <v>15613</v>
      </c>
    </row>
    <row r="8">
      <c r="A8" s="3" t="inlineStr">
        <is>
          <t>Andalla</t>
        </is>
      </c>
      <c r="B8" s="3" t="inlineStr">
        <is>
          <t>Arkhavn</t>
        </is>
      </c>
      <c r="E8" s="4" t="n">
        <v>72931</v>
      </c>
      <c r="F8" s="4" t="n">
        <v>28036248</v>
      </c>
      <c r="G8" s="4" t="n">
        <v>23143</v>
      </c>
    </row>
    <row r="9">
      <c r="A9" s="3" t="inlineStr">
        <is>
          <t>Arneland</t>
        </is>
      </c>
      <c r="B9" s="3" t="inlineStr">
        <is>
          <t>Port Pinella</t>
        </is>
      </c>
      <c r="E9" s="4" t="n">
        <v>253169.67</v>
      </c>
      <c r="F9" s="4" t="n">
        <v>33535102</v>
      </c>
      <c r="G9" s="4" t="n">
        <v>18341</v>
      </c>
    </row>
    <row r="10">
      <c r="A10" s="3" t="inlineStr">
        <is>
          <t>Aurora (Eurth)</t>
        </is>
      </c>
      <c r="B10" s="3" t="inlineStr">
        <is>
          <t>Tavares</t>
        </is>
      </c>
      <c r="E10" s="4" t="n">
        <v>42346</v>
      </c>
      <c r="F10" s="4" t="n">
        <v>14650803</v>
      </c>
      <c r="G10" s="4" t="n">
        <v>49956</v>
      </c>
    </row>
    <row r="11">
      <c r="A11" s="3" t="inlineStr">
        <is>
          <t>Ayubi</t>
        </is>
      </c>
      <c r="B11" s="3" t="inlineStr">
        <is>
          <t>Alhafa</t>
        </is>
      </c>
      <c r="E11" s="4" t="n">
        <v>53751</v>
      </c>
      <c r="F11" s="4" t="n">
        <v>1303569</v>
      </c>
      <c r="G11" s="4" t="n">
        <v>68457</v>
      </c>
    </row>
    <row r="12">
      <c r="A12" s="3" t="inlineStr">
        <is>
          <t>Bainbridge Islands</t>
        </is>
      </c>
      <c r="B12" s="3" t="inlineStr">
        <is>
          <t>Honolulu</t>
        </is>
      </c>
      <c r="E12" s="4" t="n">
        <v>309612.91</v>
      </c>
      <c r="F12" s="4" t="n">
        <v>18900000</v>
      </c>
      <c r="G12" s="4" t="n">
        <v>48033</v>
      </c>
    </row>
    <row r="13">
      <c r="A13" s="3" t="inlineStr">
        <is>
          <t>Baltica</t>
        </is>
      </c>
      <c r="B13" s="3" t="inlineStr">
        <is>
          <t>Goja</t>
        </is>
      </c>
      <c r="E13" s="4" t="n">
        <v>274628.61</v>
      </c>
      <c r="F13" s="4" t="n">
        <v>14800312</v>
      </c>
      <c r="G13" s="4" t="n">
        <v>11213</v>
      </c>
    </row>
    <row r="14">
      <c r="A14" s="3" t="inlineStr">
        <is>
          <t>Bashan</t>
        </is>
      </c>
      <c r="B14" s="3" t="inlineStr">
        <is>
          <t>En Gannim</t>
        </is>
      </c>
      <c r="E14" s="4" t="n">
        <v>239200</v>
      </c>
      <c r="F14" s="4" t="n">
        <v>8146286</v>
      </c>
      <c r="G14" s="4" t="n">
        <v>24539</v>
      </c>
    </row>
    <row r="15">
      <c r="A15" s="3" t="inlineStr">
        <is>
          <t>Burkini</t>
        </is>
      </c>
      <c r="B15" s="3" t="inlineStr">
        <is>
          <t>Cronulla</t>
        </is>
      </c>
      <c r="E15" s="4" t="n">
        <v>1007.1</v>
      </c>
      <c r="F15" s="4" t="n">
        <v>55786</v>
      </c>
      <c r="G15" s="3" t="inlineStr">
        <is>
          <t>{{No|N/A}}</t>
        </is>
      </c>
    </row>
    <row r="16">
      <c r="A16" s="3" t="inlineStr">
        <is>
          <t>Centennia Cardina</t>
        </is>
      </c>
      <c r="B16" s="3" t="inlineStr">
        <is>
          <t>Verrone</t>
        </is>
      </c>
      <c r="E16" s="4" t="n">
        <v>430708</v>
      </c>
      <c r="F16" s="4" t="n">
        <v>24540621</v>
      </c>
      <c r="G16" s="4" t="n">
        <v>13000</v>
      </c>
    </row>
    <row r="17">
      <c r="A17" s="3" t="inlineStr">
        <is>
          <t>Charkov</t>
        </is>
      </c>
      <c r="B17" s="3" t="inlineStr">
        <is>
          <t>Kovchi</t>
        </is>
      </c>
      <c r="E17" s="4" t="n">
        <v>419517.31</v>
      </c>
      <c r="F17" s="4" t="n">
        <v>22370000</v>
      </c>
      <c r="G17" s="4" t="n">
        <v>14407</v>
      </c>
    </row>
    <row r="18">
      <c r="A18" s="3" t="inlineStr">
        <is>
          <t>Cherkessk</t>
        </is>
      </c>
      <c r="B18" s="3" t="inlineStr">
        <is>
          <t>Zexkhe</t>
        </is>
      </c>
      <c r="E18" s="4" t="n">
        <v>499350.61</v>
      </c>
      <c r="F18" s="4" t="n">
        <v>22500000</v>
      </c>
      <c r="G18" s="4" t="n">
        <v>38500</v>
      </c>
    </row>
    <row r="19">
      <c r="A19" s="3" t="inlineStr">
        <is>
          <t>Cristina</t>
        </is>
      </c>
      <c r="B19" s="3" t="inlineStr">
        <is>
          <t>Cristina</t>
        </is>
      </c>
      <c r="E19" s="4" t="n">
        <v>1221</v>
      </c>
      <c r="F19" s="4" t="n">
        <v>7453682</v>
      </c>
      <c r="G19" s="4" t="n">
        <v>47306</v>
      </c>
    </row>
    <row r="20">
      <c r="A20" s="3" t="inlineStr">
        <is>
          <t>Damak Var</t>
        </is>
      </c>
      <c r="B20" s="3" t="inlineStr">
        <is>
          <t>Avantine</t>
        </is>
      </c>
      <c r="E20" s="4" t="n">
        <v>529088.75</v>
      </c>
      <c r="F20" s="4" t="n">
        <v>15500000</v>
      </c>
      <c r="G20" s="4" t="n">
        <v>5120</v>
      </c>
    </row>
    <row r="21">
      <c r="A21" s="3" t="inlineStr">
        <is>
          <t>Deltannia</t>
        </is>
      </c>
      <c r="B21" s="3" t="inlineStr">
        <is>
          <t>Delta</t>
        </is>
      </c>
      <c r="E21" s="4" t="n">
        <v>241838</v>
      </c>
      <c r="F21" s="4" t="n">
        <v>5220000</v>
      </c>
      <c r="G21" s="4" t="n">
        <v>12500</v>
      </c>
    </row>
    <row r="22">
      <c r="A22" s="3" t="inlineStr">
        <is>
          <t>Denawar</t>
        </is>
      </c>
      <c r="B22" s="3" t="inlineStr">
        <is>
          <t>Nanggan</t>
        </is>
      </c>
      <c r="E22" s="4" t="n">
        <v>171448.23</v>
      </c>
      <c r="F22" s="4" t="n">
        <v>21546774</v>
      </c>
      <c r="G22" s="4" t="n">
        <v>23700</v>
      </c>
    </row>
    <row r="23">
      <c r="A23" s="3" t="inlineStr">
        <is>
          <t>Dniester</t>
        </is>
      </c>
      <c r="B23" s="3" t="inlineStr">
        <is>
          <t>Minsk</t>
        </is>
      </c>
      <c r="E23" s="4" t="n">
        <v>207600</v>
      </c>
      <c r="F23" s="4" t="n">
        <v>40203000</v>
      </c>
      <c r="G23" s="3" t="inlineStr">
        <is>
          <t>{{No|N/A}}</t>
        </is>
      </c>
    </row>
    <row r="24">
      <c r="A24" s="3" t="inlineStr">
        <is>
          <t>Dolchland</t>
        </is>
      </c>
      <c r="B24" s="3" t="inlineStr">
        <is>
          <t>Schlammburg</t>
        </is>
      </c>
      <c r="E24" s="4" t="n">
        <v>328950</v>
      </c>
      <c r="F24" s="4" t="n">
        <v>29283179</v>
      </c>
      <c r="G24" s="4" t="n">
        <v>9903</v>
      </c>
    </row>
    <row r="25">
      <c r="A25" s="3" t="inlineStr">
        <is>
          <t>Duchy of Verde</t>
        </is>
      </c>
      <c r="B25" s="3" t="inlineStr">
        <is>
          <t>Porto Verde</t>
        </is>
      </c>
      <c r="E25" s="4" t="n">
        <v>23262</v>
      </c>
      <c r="F25" s="4" t="n">
        <v>10009200</v>
      </c>
      <c r="G25" s="4" t="n">
        <v>47955.88</v>
      </c>
    </row>
    <row r="26">
      <c r="A26" s="3" t="inlineStr">
        <is>
          <t>Ealis</t>
        </is>
      </c>
      <c r="B26" s="3" t="inlineStr">
        <is>
          <t>Lysina</t>
        </is>
      </c>
      <c r="E26" s="4" t="n">
        <v>285661</v>
      </c>
      <c r="F26" s="4" t="n">
        <v>21085626</v>
      </c>
      <c r="G26" s="4" t="n">
        <v>34000</v>
      </c>
    </row>
    <row r="27">
      <c r="A27" s="3" t="inlineStr">
        <is>
          <t>Eemsmerschen</t>
        </is>
      </c>
      <c r="B27" s="3" t="inlineStr">
        <is>
          <t>Brüggedörp</t>
        </is>
      </c>
      <c r="E27" s="4" t="n">
        <v>670000</v>
      </c>
      <c r="F27" s="4" t="n">
        <v>27833019</v>
      </c>
      <c r="G27" s="4" t="n">
        <v>17800</v>
      </c>
    </row>
    <row r="28">
      <c r="A28" s="3" t="inlineStr">
        <is>
          <t>Eidolmanta</t>
        </is>
      </c>
      <c r="B28" s="3" t="inlineStr">
        <is>
          <t>Taraxippus</t>
        </is>
      </c>
      <c r="E28" s="4" t="n">
        <v>279686.79</v>
      </c>
      <c r="F28" s="4" t="n">
        <v>35382902</v>
      </c>
      <c r="G28" s="4" t="n">
        <v>10409</v>
      </c>
    </row>
    <row r="29">
      <c r="A29" s="3" t="inlineStr">
        <is>
          <t>Erisoria</t>
        </is>
      </c>
      <c r="B29" s="3" t="inlineStr">
        <is>
          <t>Kaleendamen</t>
        </is>
      </c>
      <c r="E29" s="4" t="n">
        <v>248184</v>
      </c>
      <c r="F29" s="4" t="n">
        <v>34863517</v>
      </c>
      <c r="G29" s="4" t="n">
        <v>29500</v>
      </c>
    </row>
    <row r="30">
      <c r="A30" s="3" t="inlineStr">
        <is>
          <t>Esonice</t>
        </is>
      </c>
      <c r="B30" s="3" t="inlineStr">
        <is>
          <t>Maimedo</t>
        </is>
      </c>
      <c r="E30" s="4" t="n">
        <v>354835</v>
      </c>
      <c r="F30" s="4" t="n">
        <v>33753193</v>
      </c>
      <c r="G30" s="4" t="n">
        <v>38312</v>
      </c>
    </row>
    <row r="31">
      <c r="A31" s="3" t="inlineStr">
        <is>
          <t>Euandria</t>
        </is>
      </c>
      <c r="B31" s="3" t="inlineStr">
        <is>
          <t>Charpesiciun</t>
        </is>
      </c>
      <c r="E31" s="4" t="n">
        <v>125665</v>
      </c>
      <c r="F31" s="4" t="n">
        <v>23389041</v>
      </c>
      <c r="G31" s="4" t="n">
        <v>9335</v>
      </c>
    </row>
    <row r="32">
      <c r="A32" s="3" t="inlineStr">
        <is>
          <t>Flaca Vul</t>
        </is>
      </c>
      <c r="B32" s="3" t="inlineStr">
        <is>
          <t>Cavult Metropolis</t>
        </is>
      </c>
      <c r="E32" s="4" t="n">
        <v>281238.97</v>
      </c>
      <c r="F32" s="4" t="n">
        <v>49836821</v>
      </c>
      <c r="G32" s="4" t="n">
        <v>29653</v>
      </c>
    </row>
    <row r="33">
      <c r="A33" s="3" t="inlineStr">
        <is>
          <t>Florentia</t>
        </is>
      </c>
      <c r="B33" s="3" t="inlineStr">
        <is>
          <t>Montcharmin</t>
        </is>
      </c>
      <c r="E33" s="4" t="n">
        <v>325000</v>
      </c>
      <c r="F33" s="4" t="n">
        <v>26223000</v>
      </c>
      <c r="G33" s="4" t="n">
        <v>10666</v>
      </c>
    </row>
    <row r="34">
      <c r="A34" s="3" t="inlineStr">
        <is>
          <t>Gaellicia</t>
        </is>
      </c>
      <c r="B34" s="3" t="inlineStr">
        <is>
          <t>Penzance</t>
        </is>
      </c>
      <c r="E34" s="4" t="n">
        <v>269300</v>
      </c>
      <c r="F34" s="4" t="n">
        <v>28542321</v>
      </c>
      <c r="G34" s="4" t="n">
        <v>10000</v>
      </c>
    </row>
    <row r="35">
      <c r="A35" s="3" t="inlineStr">
        <is>
          <t>Galahinda</t>
        </is>
      </c>
      <c r="B35" s="3" t="inlineStr">
        <is>
          <t>Cascadia</t>
        </is>
      </c>
      <c r="E35" s="4" t="n">
        <v>17338.17</v>
      </c>
      <c r="F35" s="4" t="n">
        <v>9517000</v>
      </c>
      <c r="G35" s="3" t="inlineStr">
        <is>
          <t>{{No|N/A}}</t>
        </is>
      </c>
    </row>
    <row r="36">
      <c r="A36" s="3" t="inlineStr">
        <is>
          <t>Galicia</t>
        </is>
      </c>
      <c r="B36" s="3" t="inlineStr">
        <is>
          <t>Porto D'Galo</t>
        </is>
      </c>
      <c r="E36" s="4" t="n">
        <v>75764</v>
      </c>
      <c r="F36" s="4" t="n">
        <v>18344760</v>
      </c>
      <c r="G36" s="4" t="n">
        <v>33797</v>
      </c>
    </row>
    <row r="37">
      <c r="A37" s="3" t="inlineStr">
        <is>
          <t>Gallambria</t>
        </is>
      </c>
      <c r="B37" s="3" t="inlineStr">
        <is>
          <t>Bromwich</t>
        </is>
      </c>
      <c r="E37" s="4" t="n">
        <v>506052</v>
      </c>
      <c r="F37" s="4" t="n">
        <v>57990240</v>
      </c>
      <c r="G37" s="4" t="n">
        <v>49927</v>
      </c>
    </row>
    <row r="38">
      <c r="A38" s="3" t="inlineStr">
        <is>
          <t>Garindina</t>
        </is>
      </c>
      <c r="B38" s="3" t="inlineStr">
        <is>
          <t>Parsa</t>
        </is>
      </c>
      <c r="E38" s="4" t="n">
        <v>366296</v>
      </c>
      <c r="F38" s="4" t="n">
        <v>9958401</v>
      </c>
      <c r="G38" s="4" t="n">
        <v>18700</v>
      </c>
    </row>
    <row r="39">
      <c r="A39" s="3" t="inlineStr">
        <is>
          <t>Giokto</t>
        </is>
      </c>
      <c r="B39" s="3" t="inlineStr">
        <is>
          <t>Saipuo</t>
        </is>
      </c>
      <c r="E39" s="4" t="n">
        <v>31514.02</v>
      </c>
      <c r="F39" s="4" t="n">
        <v>10278427</v>
      </c>
      <c r="G39" s="4" t="n">
        <v>30600</v>
      </c>
    </row>
    <row r="40">
      <c r="A40" s="3" t="inlineStr">
        <is>
          <t>Girkmand</t>
        </is>
      </c>
      <c r="B40" s="3" t="inlineStr">
        <is>
          <t>Girk</t>
        </is>
      </c>
      <c r="E40" s="4" t="n">
        <v>72444.23</v>
      </c>
      <c r="F40" s="4" t="n">
        <v>6200000</v>
      </c>
      <c r="G40" s="4" t="n">
        <v>41936</v>
      </c>
    </row>
    <row r="41">
      <c r="A41" s="3" t="inlineStr">
        <is>
          <t>Goankok</t>
        </is>
      </c>
      <c r="B41" s="3" t="inlineStr">
        <is>
          <t>Sisimto</t>
        </is>
      </c>
      <c r="E41" s="4" t="n">
        <v>33585.92</v>
      </c>
      <c r="F41" s="4" t="n">
        <v>13646233</v>
      </c>
      <c r="G41" s="4" t="n">
        <v>8452</v>
      </c>
    </row>
    <row r="42">
      <c r="A42" s="3" t="inlineStr">
        <is>
          <t>Great Anglia</t>
        </is>
      </c>
      <c r="B42" s="3" t="inlineStr">
        <is>
          <t>Godstone</t>
        </is>
      </c>
      <c r="E42" s="4" t="n">
        <v>242495</v>
      </c>
      <c r="F42" s="4" t="n">
        <v>109734597</v>
      </c>
      <c r="G42" s="4" t="n">
        <v>38580</v>
      </c>
    </row>
    <row r="43">
      <c r="A43" s="3" t="inlineStr">
        <is>
          <t>Great Mèdia</t>
        </is>
      </c>
      <c r="B43" s="3" t="inlineStr">
        <is>
          <t xml:space="preserve">Mèdopolis  </t>
        </is>
      </c>
      <c r="E43" s="4" t="n">
        <v>399550</v>
      </c>
      <c r="F43" s="4" t="n">
        <v>23136456</v>
      </c>
      <c r="G43" s="4" t="n">
        <v>15123</v>
      </c>
    </row>
    <row r="44">
      <c r="A44" s="3" t="inlineStr">
        <is>
          <t>Helsium</t>
        </is>
      </c>
      <c r="B44" s="3" t="inlineStr">
        <is>
          <t>Xarsetti</t>
        </is>
      </c>
      <c r="E44" s="4" t="n">
        <v>249355</v>
      </c>
      <c r="F44" s="4" t="n">
        <v>14700000</v>
      </c>
      <c r="G44" s="4" t="n">
        <v>48780</v>
      </c>
    </row>
    <row r="45">
      <c r="A45" s="3" t="inlineStr">
        <is>
          <t>Hexanesa</t>
        </is>
      </c>
      <c r="B45" s="3" t="inlineStr">
        <is>
          <t>Gournaion</t>
        </is>
      </c>
      <c r="E45" s="4" t="n">
        <v>72789.65999999999</v>
      </c>
      <c r="F45" s="4" t="n">
        <v>216510</v>
      </c>
      <c r="G45" s="4" t="n">
        <v>5065</v>
      </c>
    </row>
    <row r="46">
      <c r="A46" s="3" t="inlineStr">
        <is>
          <t>Ide Jima</t>
        </is>
      </c>
      <c r="B46" s="3" t="inlineStr">
        <is>
          <t>Darhan</t>
        </is>
      </c>
      <c r="E46" s="4" t="n">
        <v>930939</v>
      </c>
      <c r="F46" s="4" t="n">
        <v>152400000</v>
      </c>
      <c r="G46" s="4" t="n">
        <v>13687</v>
      </c>
    </row>
    <row r="47">
      <c r="A47" s="3" t="inlineStr">
        <is>
          <t>Ionio</t>
        </is>
      </c>
      <c r="B47" s="3" t="inlineStr">
        <is>
          <t>San Foca</t>
        </is>
      </c>
      <c r="E47" s="4" t="n">
        <v>314212</v>
      </c>
      <c r="F47" s="4" t="n">
        <v>26768932</v>
      </c>
      <c r="G47" s="4" t="n">
        <v>17769</v>
      </c>
    </row>
    <row r="48">
      <c r="A48" s="3" t="inlineStr">
        <is>
          <t>Iverica</t>
        </is>
      </c>
      <c r="B48" s="3" t="inlineStr">
        <is>
          <t>Intreimor</t>
        </is>
      </c>
      <c r="E48" s="4" t="n">
        <v>242744</v>
      </c>
      <c r="F48" s="4" t="n">
        <v>59651396</v>
      </c>
      <c r="G48" s="4" t="n">
        <v>49890</v>
      </c>
    </row>
    <row r="49">
      <c r="A49" s="3" t="inlineStr">
        <is>
          <t>Iwenland</t>
        </is>
      </c>
      <c r="B49" s="3" t="inlineStr">
        <is>
          <t>Zestrathaven</t>
        </is>
      </c>
      <c r="E49" s="4" t="n">
        <v>2112.63</v>
      </c>
      <c r="F49" s="4" t="n">
        <v>1200000</v>
      </c>
      <c r="G49" s="4" t="n">
        <v>17000</v>
      </c>
    </row>
    <row r="50">
      <c r="A50" s="3" t="inlineStr">
        <is>
          <t>Kalnija</t>
        </is>
      </c>
      <c r="B50" s="3" t="inlineStr">
        <is>
          <t>Grobija</t>
        </is>
      </c>
      <c r="E50" s="4" t="n">
        <v>53830.95</v>
      </c>
      <c r="F50" s="4" t="n">
        <v>3231421</v>
      </c>
      <c r="G50" s="4" t="n">
        <v>14777</v>
      </c>
    </row>
    <row r="51">
      <c r="A51" s="3" t="inlineStr">
        <is>
          <t>Kirvina</t>
        </is>
      </c>
      <c r="B51" s="3" t="inlineStr">
        <is>
          <t>Achilleia</t>
        </is>
      </c>
      <c r="E51" s="4" t="n">
        <v>40040.06</v>
      </c>
      <c r="F51" s="4" t="n">
        <v>34390000</v>
      </c>
      <c r="G51" s="4" t="n">
        <v>25788</v>
      </c>
    </row>
    <row r="52">
      <c r="A52" s="3" t="inlineStr">
        <is>
          <t>Kíziáuke</t>
        </is>
      </c>
      <c r="B52" s="3" t="inlineStr">
        <is>
          <t>Pachetan</t>
        </is>
      </c>
      <c r="E52" s="4" t="n">
        <v>222000</v>
      </c>
      <c r="F52" s="4" t="n">
        <v>48132950</v>
      </c>
      <c r="G52" s="4" t="n">
        <v>39916</v>
      </c>
    </row>
    <row r="53">
      <c r="A53" s="3" t="inlineStr">
        <is>
          <t>Kolhar</t>
        </is>
      </c>
      <c r="B53" s="3" t="inlineStr">
        <is>
          <t>Vakor</t>
        </is>
      </c>
      <c r="E53" s="4" t="n">
        <v>239930</v>
      </c>
      <c r="F53" s="4" t="n">
        <v>39534000</v>
      </c>
      <c r="G53" s="4" t="n">
        <v>14932</v>
      </c>
    </row>
    <row r="54">
      <c r="A54" s="3" t="inlineStr">
        <is>
          <t>Kōri-Chi</t>
        </is>
      </c>
      <c r="B54" s="3" t="inlineStr">
        <is>
          <t>Dākuōku</t>
        </is>
      </c>
      <c r="E54" s="4" t="n">
        <v>312187.24</v>
      </c>
      <c r="F54" s="4" t="n">
        <v>40000000</v>
      </c>
      <c r="G54" s="4" t="n">
        <v>5400</v>
      </c>
    </row>
    <row r="55">
      <c r="A55" s="3" t="inlineStr">
        <is>
          <t>Kotowari</t>
        </is>
      </c>
      <c r="B55" s="3" t="inlineStr">
        <is>
          <t>Kotowari City</t>
        </is>
      </c>
      <c r="E55" s="4" t="n">
        <v>625596</v>
      </c>
      <c r="F55" s="4" t="n">
        <v>52860000</v>
      </c>
      <c r="G55" s="3" t="inlineStr">
        <is>
          <t>{{No|N/A}}</t>
        </is>
      </c>
    </row>
    <row r="56">
      <c r="A56" s="3" t="inlineStr">
        <is>
          <t>Llalta</t>
        </is>
      </c>
      <c r="B56" s="3" t="inlineStr">
        <is>
          <t>Saint Christopher</t>
        </is>
      </c>
      <c r="E56" s="4" t="n">
        <v>3076</v>
      </c>
      <c r="F56" s="4" t="n">
        <v>3136</v>
      </c>
      <c r="G56" s="4" t="n">
        <v>37628</v>
      </c>
    </row>
    <row r="57">
      <c r="A57" s="3" t="inlineStr">
        <is>
          <t>Luterna</t>
        </is>
      </c>
      <c r="B57" s="3" t="inlineStr">
        <is>
          <t>Valiennes</t>
        </is>
      </c>
      <c r="E57" s="4" t="n">
        <v>220604.34</v>
      </c>
      <c r="F57" s="4" t="n">
        <v>22560000</v>
      </c>
      <c r="G57" s="4" t="n">
        <v>17800</v>
      </c>
    </row>
    <row r="58">
      <c r="A58" s="3" t="inlineStr">
        <is>
          <t>Lysia</t>
        </is>
      </c>
      <c r="B58" s="3" t="inlineStr">
        <is>
          <t>Couer</t>
        </is>
      </c>
      <c r="E58" s="4" t="n">
        <v>466895</v>
      </c>
      <c r="F58" s="4" t="n">
        <v>20372959</v>
      </c>
      <c r="G58" s="4" t="n">
        <v>19347.07</v>
      </c>
    </row>
    <row r="59">
      <c r="A59" s="3" t="inlineStr">
        <is>
          <t>Manamana</t>
        </is>
      </c>
      <c r="B59" s="3" t="inlineStr">
        <is>
          <t>Manaca City</t>
        </is>
      </c>
      <c r="E59" s="4" t="n">
        <v>339988.16</v>
      </c>
      <c r="F59" s="4" t="n">
        <v>18361225</v>
      </c>
      <c r="G59" s="4" t="n">
        <v>20092</v>
      </c>
    </row>
    <row r="60">
      <c r="A60" s="3" t="inlineStr">
        <is>
          <t>Marchyydion</t>
        </is>
      </c>
      <c r="B60" s="3" t="inlineStr">
        <is>
          <t>Caer Marchion</t>
        </is>
      </c>
      <c r="E60" s="4" t="n">
        <v>429545.88</v>
      </c>
      <c r="F60" s="4" t="n">
        <v>13000000</v>
      </c>
      <c r="G60" s="4" t="n">
        <v>19000</v>
      </c>
    </row>
    <row r="61">
      <c r="A61" s="3" t="inlineStr">
        <is>
          <t>Mejilia</t>
        </is>
      </c>
      <c r="B61" s="3" t="inlineStr">
        <is>
          <t>Font</t>
        </is>
      </c>
      <c r="E61" s="4" t="n">
        <v>458333</v>
      </c>
      <c r="F61" s="4" t="n">
        <v>47050034</v>
      </c>
      <c r="G61" s="4" t="n">
        <v>27331</v>
      </c>
    </row>
    <row r="62">
      <c r="A62" s="3" t="inlineStr">
        <is>
          <t>Mekabiri</t>
        </is>
      </c>
      <c r="B62" s="3" t="inlineStr">
        <is>
          <t>Piri</t>
        </is>
      </c>
      <c r="E62" s="4" t="n">
        <v>522586</v>
      </c>
      <c r="F62" s="4" t="n">
        <v>9149522</v>
      </c>
      <c r="G62" s="4" t="n">
        <v>12859</v>
      </c>
    </row>
    <row r="63">
      <c r="A63" s="3" t="inlineStr">
        <is>
          <t>Miiros</t>
        </is>
      </c>
      <c r="B63" s="3" t="inlineStr">
        <is>
          <t>Orthen</t>
        </is>
      </c>
      <c r="E63" s="4" t="n">
        <v>580392.38</v>
      </c>
      <c r="F63" s="4" t="n">
        <v>5750000</v>
      </c>
      <c r="G63" s="4" t="n">
        <v>59362</v>
      </c>
    </row>
    <row r="64">
      <c r="A64" s="3" t="inlineStr">
        <is>
          <t>Mikochi</t>
        </is>
      </c>
      <c r="B64" s="3" t="inlineStr">
        <is>
          <t>Umikyo</t>
        </is>
      </c>
      <c r="E64" s="4" t="n">
        <v>76017</v>
      </c>
      <c r="F64" s="4" t="n">
        <v>25287241</v>
      </c>
      <c r="G64" s="4" t="n">
        <v>28779</v>
      </c>
    </row>
    <row r="65">
      <c r="A65" s="3" t="inlineStr">
        <is>
          <t>Mitō</t>
        </is>
      </c>
      <c r="B65" s="3" t="inlineStr">
        <is>
          <t>Kenkyō</t>
        </is>
      </c>
      <c r="E65" s="4" t="n">
        <v>59355</v>
      </c>
      <c r="F65" s="4" t="n">
        <v>9723000</v>
      </c>
      <c r="G65" s="4" t="n">
        <v>44829</v>
      </c>
    </row>
    <row r="66">
      <c r="A66" s="3" t="inlineStr">
        <is>
          <t>Nanto</t>
        </is>
      </c>
      <c r="B66" s="3" t="inlineStr">
        <is>
          <t>Sawi</t>
        </is>
      </c>
      <c r="E66" s="4" t="n">
        <v>12612</v>
      </c>
      <c r="F66" s="4" t="n">
        <v>1174985</v>
      </c>
      <c r="G66" s="4" t="n">
        <v>8453</v>
      </c>
    </row>
    <row r="67">
      <c r="A67" s="3" t="inlineStr">
        <is>
          <t>Narva</t>
        </is>
      </c>
      <c r="B67" s="3" t="inlineStr">
        <is>
          <t>Mannarsto</t>
        </is>
      </c>
      <c r="E67" s="4" t="n">
        <v>139886</v>
      </c>
      <c r="F67" s="4" t="n">
        <v>8900435</v>
      </c>
      <c r="G67" s="4" t="n">
        <v>25841</v>
      </c>
    </row>
    <row r="68">
      <c r="A68" s="3" t="inlineStr">
        <is>
          <t>Neusrya</t>
        </is>
      </c>
      <c r="B68" s="3" t="inlineStr">
        <is>
          <t>Zhaber</t>
        </is>
      </c>
      <c r="E68" s="4" t="n">
        <v>135418</v>
      </c>
      <c r="F68" s="4" t="n">
        <v>43000000</v>
      </c>
      <c r="G68" s="4" t="n">
        <v>17435</v>
      </c>
    </row>
    <row r="69">
      <c r="A69" s="3" t="inlineStr">
        <is>
          <t>Niederoestereich</t>
        </is>
      </c>
      <c r="B69" s="3" t="inlineStr">
        <is>
          <t>Ranke</t>
        </is>
      </c>
      <c r="E69" s="4" t="n">
        <v>295392.95</v>
      </c>
      <c r="F69" s="4" t="n">
        <v>14906117</v>
      </c>
      <c r="G69" s="4" t="n">
        <v>59178</v>
      </c>
    </row>
    <row r="70">
      <c r="A70" s="3" t="inlineStr">
        <is>
          <t>Orioni</t>
        </is>
      </c>
      <c r="B70" s="3" t="inlineStr">
        <is>
          <t>O'polis</t>
        </is>
      </c>
      <c r="E70" s="4" t="n">
        <v>1155853</v>
      </c>
      <c r="F70" s="4" t="n">
        <v>147478008</v>
      </c>
      <c r="G70" s="4" t="n">
        <v>46131</v>
      </c>
    </row>
    <row r="71">
      <c r="A71" s="3" t="inlineStr">
        <is>
          <t>Pentium</t>
        </is>
      </c>
      <c r="B71" s="3" t="inlineStr">
        <is>
          <t>Whedon's Row</t>
        </is>
      </c>
      <c r="E71" s="4" t="n">
        <v>87500</v>
      </c>
      <c r="F71" s="4" t="n">
        <v>95456345</v>
      </c>
      <c r="G71" s="4" t="n">
        <v>21220</v>
      </c>
    </row>
    <row r="72">
      <c r="A72" s="3" t="inlineStr">
        <is>
          <t>Poja</t>
        </is>
      </c>
      <c r="B72" s="3" t="inlineStr">
        <is>
          <t>Rugi</t>
        </is>
      </c>
      <c r="E72" s="4" t="n">
        <v>340090</v>
      </c>
      <c r="F72" s="4" t="n">
        <v>25813303</v>
      </c>
      <c r="G72" s="4" t="n">
        <v>18360</v>
      </c>
    </row>
    <row r="73">
      <c r="A73" s="3" t="inlineStr">
        <is>
          <t>Prymont</t>
        </is>
      </c>
      <c r="B73" s="3" t="inlineStr">
        <is>
          <t>New Halsham</t>
        </is>
      </c>
      <c r="E73" s="4" t="n">
        <v>267099.61</v>
      </c>
      <c r="F73" s="4" t="n">
        <v>12011000</v>
      </c>
      <c r="G73" s="4" t="n">
        <v>59772</v>
      </c>
    </row>
    <row r="74">
      <c r="A74" s="3" t="inlineStr">
        <is>
          <t>Qubdi</t>
        </is>
      </c>
      <c r="B74" s="3" t="inlineStr">
        <is>
          <t>Taqdir</t>
        </is>
      </c>
      <c r="E74" s="4" t="n">
        <v>587062</v>
      </c>
      <c r="F74" s="4" t="n">
        <v>203412021</v>
      </c>
      <c r="G74" s="4" t="n">
        <v>7325</v>
      </c>
    </row>
    <row r="75">
      <c r="A75" s="3" t="inlineStr">
        <is>
          <t>Ralzawr</t>
        </is>
      </c>
      <c r="B75" s="3" t="inlineStr">
        <is>
          <t>Yiywa</t>
        </is>
      </c>
      <c r="E75" s="4" t="n">
        <v>871928.11</v>
      </c>
      <c r="F75" s="4" t="n">
        <v>12815308</v>
      </c>
      <c r="G75" s="4" t="n">
        <v>48800</v>
      </c>
    </row>
    <row r="76">
      <c r="A76" s="3" t="inlineStr">
        <is>
          <t>Red Iberos</t>
        </is>
      </c>
      <c r="B76" s="3" t="inlineStr">
        <is>
          <t>Porto Premia</t>
        </is>
      </c>
      <c r="E76" s="4" t="n">
        <v>839086.55</v>
      </c>
      <c r="F76" s="4" t="n">
        <v>26000000</v>
      </c>
      <c r="G76" s="4" t="n">
        <v>22957</v>
      </c>
    </row>
    <row r="77">
      <c r="A77" s="3" t="inlineStr">
        <is>
          <t>Rhodellia</t>
        </is>
      </c>
      <c r="B77" s="3" t="inlineStr">
        <is>
          <t>Friedrichstadt</t>
        </is>
      </c>
      <c r="E77" s="4" t="n">
        <v>89200</v>
      </c>
      <c r="F77" s="4" t="n">
        <v>10000000</v>
      </c>
      <c r="G77" s="4" t="n">
        <v>45000</v>
      </c>
    </row>
    <row r="78">
      <c r="A78" s="3" t="inlineStr">
        <is>
          <t>Rohini</t>
        </is>
      </c>
      <c r="B78" s="3" t="inlineStr">
        <is>
          <t>Vali</t>
        </is>
      </c>
      <c r="E78" s="4" t="n">
        <v>13713</v>
      </c>
      <c r="F78" s="4" t="n">
        <v>1691876</v>
      </c>
      <c r="G78" s="3" t="inlineStr">
        <is>
          <t>{{No|N/A}}</t>
        </is>
      </c>
    </row>
    <row r="79">
      <c r="A79" s="3" t="inlineStr">
        <is>
          <t>Sa Ma Khom</t>
        </is>
      </c>
      <c r="B79" s="3" t="inlineStr">
        <is>
          <t>Ha Ninh</t>
        </is>
      </c>
      <c r="E79" s="4" t="n">
        <v>446926</v>
      </c>
      <c r="F79" s="4" t="n">
        <v>13000000</v>
      </c>
      <c r="G79" s="4" t="n">
        <v>14000</v>
      </c>
    </row>
    <row r="80">
      <c r="A80" s="3" t="inlineStr">
        <is>
          <t>Sahra</t>
        </is>
      </c>
      <c r="B80" s="3" t="inlineStr">
        <is>
          <t>Ra</t>
        </is>
      </c>
      <c r="E80" s="4" t="n">
        <v>846377</v>
      </c>
      <c r="F80" s="4" t="n">
        <v>20000000</v>
      </c>
      <c r="G80" s="4" t="n">
        <v>10000</v>
      </c>
    </row>
    <row r="81">
      <c r="A81" s="3" t="inlineStr">
        <is>
          <t>Salvia</t>
        </is>
      </c>
      <c r="B81" s="3" t="inlineStr">
        <is>
          <t>Deopolis</t>
        </is>
      </c>
      <c r="E81" s="4" t="n">
        <v>389451</v>
      </c>
      <c r="F81" s="4" t="n">
        <v>23001900</v>
      </c>
      <c r="G81" s="4" t="n">
        <v>38910</v>
      </c>
    </row>
    <row r="82">
      <c r="A82" s="3" t="inlineStr">
        <is>
          <t>San Giorgio</t>
        </is>
      </c>
      <c r="B82" s="3" t="inlineStr">
        <is>
          <t>Sabato</t>
        </is>
      </c>
      <c r="E82" s="4" t="n">
        <v>7975.25</v>
      </c>
      <c r="F82" s="4" t="n">
        <v>3046546</v>
      </c>
      <c r="G82" s="3" t="inlineStr">
        <is>
          <t>{{No|N/A}}</t>
        </is>
      </c>
    </row>
    <row r="83">
      <c r="A83" s="3" t="inlineStr">
        <is>
          <t>San Jorge</t>
        </is>
      </c>
      <c r="B83" s="3" t="inlineStr">
        <is>
          <t>Santa Isabel</t>
        </is>
      </c>
      <c r="E83" s="4" t="n">
        <v>10584.42</v>
      </c>
      <c r="F83" s="4" t="n">
        <v>2328572</v>
      </c>
      <c r="G83" s="3" t="inlineStr">
        <is>
          <t>{{No|N/A}}</t>
        </is>
      </c>
    </row>
    <row r="84">
      <c r="A84" s="3" t="inlineStr">
        <is>
          <t>Sokhanistan</t>
        </is>
      </c>
      <c r="B84" s="3" t="inlineStr">
        <is>
          <t>Valakilea</t>
        </is>
      </c>
      <c r="E84" s="4" t="n">
        <v>528980</v>
      </c>
      <c r="F84" s="4" t="n">
        <v>46537935</v>
      </c>
      <c r="G84" s="3" t="inlineStr">
        <is>
          <t>{{No|N/A}}</t>
        </is>
      </c>
    </row>
    <row r="85">
      <c r="A85" s="3" t="inlineStr">
        <is>
          <t>Sporsia</t>
        </is>
      </c>
      <c r="B85" s="3" t="inlineStr">
        <is>
          <t>Ganris</t>
        </is>
      </c>
      <c r="E85" s="4" t="n">
        <v>274520</v>
      </c>
      <c r="F85" s="4" t="n">
        <v>45130102</v>
      </c>
      <c r="G85" s="3" t="inlineStr">
        <is>
          <t>{{No|N/A}}</t>
        </is>
      </c>
    </row>
    <row r="86">
      <c r="A86" s="3" t="inlineStr">
        <is>
          <t>Stedoria</t>
        </is>
      </c>
      <c r="B86" s="3" t="inlineStr">
        <is>
          <t>Kapojvar</t>
        </is>
      </c>
      <c r="E86" s="4" t="n">
        <v>296300</v>
      </c>
      <c r="F86" s="4" t="n">
        <v>18727052</v>
      </c>
      <c r="G86" s="4" t="n">
        <v>14399</v>
      </c>
    </row>
    <row r="87">
      <c r="A87" s="3" t="inlineStr">
        <is>
          <t>Suminto</t>
        </is>
      </c>
      <c r="B87" s="3" t="inlineStr">
        <is>
          <t>Sumen Batuk</t>
        </is>
      </c>
      <c r="E87" s="4" t="n">
        <v>345000</v>
      </c>
      <c r="F87" s="4" t="n">
        <v>60000000</v>
      </c>
      <c r="G87" s="4" t="n">
        <v>12800</v>
      </c>
    </row>
    <row r="88">
      <c r="A88" s="3" t="inlineStr">
        <is>
          <t>Sunseong</t>
        </is>
      </c>
      <c r="B88" s="3" t="inlineStr">
        <is>
          <t>Wonchon</t>
        </is>
      </c>
      <c r="E88" s="4" t="n">
        <v>182292</v>
      </c>
      <c r="F88" s="4" t="n">
        <v>23660000</v>
      </c>
      <c r="G88" s="4" t="n">
        <v>19369</v>
      </c>
    </row>
    <row r="89">
      <c r="A89" s="3" t="inlineStr">
        <is>
          <t>Sunset Sea Islands</t>
        </is>
      </c>
      <c r="B89" s="3" t="inlineStr">
        <is>
          <t>Sunset City</t>
        </is>
      </c>
      <c r="E89" s="4" t="n">
        <v>790000</v>
      </c>
      <c r="F89" s="4" t="n">
        <v>68870000</v>
      </c>
      <c r="G89" s="4" t="n">
        <v>15000</v>
      </c>
    </row>
    <row r="90">
      <c r="A90" s="3" t="inlineStr">
        <is>
          <t>Suverina</t>
        </is>
      </c>
      <c r="B90" s="3" t="inlineStr">
        <is>
          <t>Chişinău</t>
        </is>
      </c>
      <c r="E90" s="4" t="n">
        <v>891853</v>
      </c>
      <c r="F90" s="4" t="n">
        <v>111815000</v>
      </c>
      <c r="G90" s="4" t="n">
        <v>23767</v>
      </c>
    </row>
    <row r="91">
      <c r="A91" s="3" t="inlineStr">
        <is>
          <t>Tabaristan</t>
        </is>
      </c>
      <c r="B91" s="3" t="inlineStr">
        <is>
          <t>Saari</t>
        </is>
      </c>
      <c r="E91" s="4" t="n">
        <v>49117.91</v>
      </c>
      <c r="F91" s="4" t="n">
        <v>15984105</v>
      </c>
      <c r="G91" s="4" t="n">
        <v>21000</v>
      </c>
    </row>
    <row r="92">
      <c r="A92" s="3" t="inlineStr">
        <is>
          <t>Tagmatium</t>
        </is>
      </c>
      <c r="B92" s="3" t="inlineStr">
        <is>
          <t>Tagmatika</t>
        </is>
      </c>
      <c r="E92" s="4" t="n">
        <v>1023597</v>
      </c>
      <c r="F92" s="4" t="n">
        <v>253491524</v>
      </c>
      <c r="G92" s="4" t="n">
        <v>21595</v>
      </c>
    </row>
    <row r="93">
      <c r="A93" s="3" t="inlineStr">
        <is>
          <t>Tamurin</t>
        </is>
      </c>
      <c r="B93" s="3" t="inlineStr">
        <is>
          <t>Alaghon</t>
        </is>
      </c>
      <c r="E93" s="4" t="n">
        <v>560523</v>
      </c>
      <c r="F93" s="4" t="n">
        <v>80193963</v>
      </c>
      <c r="G93" s="4" t="n">
        <v>37274</v>
      </c>
    </row>
    <row r="94">
      <c r="A94" s="3" t="inlineStr">
        <is>
          <t>Tavok</t>
        </is>
      </c>
      <c r="B94" s="3" t="inlineStr">
        <is>
          <t>Tyyrik</t>
        </is>
      </c>
      <c r="E94" s="4" t="n">
        <v>248153</v>
      </c>
      <c r="F94" s="4" t="n">
        <v>48000000</v>
      </c>
      <c r="G94" s="4" t="n">
        <v>39500</v>
      </c>
    </row>
    <row r="95">
      <c r="A95" s="3" t="inlineStr">
        <is>
          <t>Variota</t>
        </is>
      </c>
      <c r="B95" s="3" t="inlineStr">
        <is>
          <t>Ferrefaaierhafen</t>
        </is>
      </c>
      <c r="E95" s="4" t="n">
        <v>391765</v>
      </c>
      <c r="F95" s="4" t="n">
        <v>41910000</v>
      </c>
      <c r="G95" s="4" t="n">
        <v>37914</v>
      </c>
    </row>
    <row r="96">
      <c r="A96" s="3" t="inlineStr">
        <is>
          <t>Vasqqa</t>
        </is>
      </c>
      <c r="B96" s="3" t="inlineStr">
        <is>
          <t>Vilvau</t>
        </is>
      </c>
      <c r="E96" s="4" t="n">
        <v>85111</v>
      </c>
      <c r="F96" s="4" t="n">
        <v>12129800</v>
      </c>
      <c r="G96" s="4" t="n">
        <v>17230</v>
      </c>
    </row>
    <row r="97">
      <c r="A97" s="3" t="inlineStr">
        <is>
          <t>Velaheria</t>
        </is>
      </c>
      <c r="B97" s="3" t="inlineStr">
        <is>
          <t>Bastaria</t>
        </is>
      </c>
      <c r="E97" s="4" t="n">
        <v>313330.72</v>
      </c>
      <c r="F97" s="4" t="n">
        <v>30403490</v>
      </c>
      <c r="G97" s="4" t="n">
        <v>2600</v>
      </c>
    </row>
    <row r="98">
      <c r="A98" s="3" t="inlineStr">
        <is>
          <t>Verraine</t>
        </is>
      </c>
      <c r="B98" s="3" t="inlineStr">
        <is>
          <t>Terre Littoral</t>
        </is>
      </c>
      <c r="E98" s="4" t="n">
        <v>329176</v>
      </c>
      <c r="F98" s="4" t="n">
        <v>21072594</v>
      </c>
      <c r="G98" s="4" t="n">
        <v>19571</v>
      </c>
    </row>
    <row r="99">
      <c r="A99" s="3" t="inlineStr">
        <is>
          <t>Volhynia</t>
        </is>
      </c>
      <c r="B99" s="3" t="inlineStr">
        <is>
          <t>Prykarpattia</t>
        </is>
      </c>
      <c r="E99" s="4" t="n">
        <v>229900</v>
      </c>
      <c r="F99" s="4" t="n">
        <v>16450000</v>
      </c>
      <c r="G99" s="4" t="n">
        <v>20000</v>
      </c>
    </row>
    <row r="100">
      <c r="A100" s="3" t="inlineStr">
        <is>
          <t>Volsci</t>
        </is>
      </c>
      <c r="B100" s="3" t="inlineStr">
        <is>
          <t>Antium</t>
        </is>
      </c>
      <c r="E100" s="4" t="n">
        <v>1099762</v>
      </c>
      <c r="F100" s="4" t="n">
        <v>146520000</v>
      </c>
      <c r="G100" s="4" t="n">
        <v>9001</v>
      </c>
    </row>
    <row r="101">
      <c r="A101" s="3" t="inlineStr">
        <is>
          <t>Vosarkia</t>
        </is>
      </c>
      <c r="B101" s="3" t="inlineStr">
        <is>
          <t>Ṡarsmēra</t>
        </is>
      </c>
      <c r="E101" s="4" t="n">
        <v>320198.58</v>
      </c>
      <c r="F101" s="4" t="n">
        <v>12315438</v>
      </c>
      <c r="G101" s="4" t="n">
        <v>26916</v>
      </c>
    </row>
    <row r="102">
      <c r="A102" s="3" t="inlineStr">
        <is>
          <t>Welkija</t>
        </is>
      </c>
      <c r="B102" s="3" t="inlineStr">
        <is>
          <t>Nowa Huta</t>
        </is>
      </c>
      <c r="E102" s="4" t="n">
        <v>650602</v>
      </c>
      <c r="F102" s="4" t="n">
        <v>14263654</v>
      </c>
      <c r="G102" s="4" t="n">
        <v>14126</v>
      </c>
    </row>
    <row r="103">
      <c r="A103" s="3" t="inlineStr">
        <is>
          <t>West Anglia</t>
        </is>
      </c>
      <c r="B103" s="3" t="inlineStr">
        <is>
          <t>Plough</t>
        </is>
      </c>
      <c r="E103" s="4" t="n">
        <v>620827.86</v>
      </c>
      <c r="F103" s="4" t="n">
        <v>27354000</v>
      </c>
      <c r="G103" s="4" t="n">
        <v>31879.5</v>
      </c>
    </row>
    <row r="104">
      <c r="A104" s="3" t="inlineStr">
        <is>
          <t>Yien</t>
        </is>
      </c>
      <c r="B104" s="3" t="inlineStr">
        <is>
          <t>Wëngabiook</t>
        </is>
      </c>
      <c r="E104" s="4" t="n">
        <v>380079.06</v>
      </c>
      <c r="F104" s="4" t="n">
        <v>6220000</v>
      </c>
      <c r="G104" s="3" t="inlineStr">
        <is>
          <t>{{No|N/A}}</t>
        </is>
      </c>
    </row>
    <row r="105">
      <c r="A105" s="3" t="inlineStr">
        <is>
          <t>Ymutz-Mizlan</t>
        </is>
      </c>
      <c r="B105" s="3" t="inlineStr">
        <is>
          <t>Ferrescan</t>
        </is>
      </c>
      <c r="E105" s="4" t="n">
        <v>645100</v>
      </c>
      <c r="F105" s="4" t="n">
        <v>30203486</v>
      </c>
      <c r="G105" s="4" t="n">
        <v>7000</v>
      </c>
    </row>
    <row r="106">
      <c r="A106" s="3" t="inlineStr">
        <is>
          <t>Yuropa</t>
        </is>
      </c>
      <c r="B106" s="3" t="inlineStr">
        <is>
          <t>Centridge City</t>
        </is>
      </c>
      <c r="E106" s="4" t="n">
        <v>569161</v>
      </c>
      <c r="F106" s="4" t="n">
        <v>61600000</v>
      </c>
      <c r="G106" s="4" t="n">
        <v>4545</v>
      </c>
    </row>
    <row r="107">
      <c r="A107" s="3" t="inlineStr">
        <is>
          <t>Zekistan</t>
        </is>
      </c>
      <c r="B107" s="3" t="inlineStr">
        <is>
          <t>Manzarabad</t>
        </is>
      </c>
      <c r="E107" s="4" t="n">
        <v>122176.09</v>
      </c>
      <c r="F107" s="4" t="n">
        <v>12000000</v>
      </c>
      <c r="G107" s="4" t="n">
        <v>8000</v>
      </c>
    </row>
    <row r="108">
      <c r="A108" s="3" t="inlineStr">
        <is>
          <t>Zuydland</t>
        </is>
      </c>
      <c r="B108" s="3" t="inlineStr">
        <is>
          <t>Fort Leeuwendael</t>
        </is>
      </c>
      <c r="E108" s="4" t="n">
        <v>245000</v>
      </c>
      <c r="F108" s="4" t="n">
        <v>22400000</v>
      </c>
      <c r="G108" s="4" t="n">
        <v>18600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32"/>
  <sheetViews>
    <sheetView workbookViewId="0">
      <pane ySplit="1" topLeftCell="A2" activePane="bottomLeft" state="frozen"/>
      <selection pane="bottomLeft" activeCell="A1" sqref="A1"/>
    </sheetView>
  </sheetViews>
  <sheetFormatPr baseColWidth="8" defaultRowHeight="15"/>
  <cols>
    <col width="15.13" customWidth="1" min="1" max="1"/>
    <col width="13.88" customWidth="1" min="2" max="2"/>
    <col width="3" customWidth="1" min="3" max="3"/>
    <col width="3.38" customWidth="1" min="4" max="4"/>
    <col width="12.13" customWidth="1" min="5" max="5"/>
    <col width="22.38" customWidth="1" min="7" max="7"/>
    <col width="11" customWidth="1" min="8" max="8"/>
    <col width="18.5" customWidth="1" min="9" max="9"/>
    <col width="9.880000000000001" customWidth="1" min="10" max="10"/>
    <col width="12.38" customWidth="1" min="12" max="12"/>
    <col width="20" customWidth="1" min="13" max="13"/>
    <col width="34" customWidth="1" min="14" max="14"/>
    <col width="15" customWidth="1" min="15" max="15"/>
    <col width="12" customWidth="1" min="16" max="16"/>
    <col width="14" customWidth="1" min="17" max="17"/>
    <col width="26" customWidth="1" min="18" max="18"/>
    <col width="6" customWidth="1" min="19" max="19"/>
  </cols>
  <sheetData>
    <row r="1">
      <c r="A1" s="1" t="inlineStr">
        <is>
          <t>Country</t>
        </is>
      </c>
      <c r="B1" s="1" t="inlineStr">
        <is>
          <t>Capital</t>
        </is>
      </c>
      <c r="C1" s="1" t="inlineStr">
        <is>
          <t>Country</t>
        </is>
      </c>
      <c r="D1" s="1" t="inlineStr">
        <is>
          <t>Capital</t>
        </is>
      </c>
      <c r="E1" s="1" t="inlineStr">
        <is>
          <t>Area (km2)</t>
        </is>
      </c>
      <c r="F1" s="1" t="inlineStr">
        <is>
          <t>Population</t>
        </is>
      </c>
      <c r="G1" s="1" t="inlineStr">
        <is>
          <t>{{Tooltip|GDPPC|GDP per capita}}&lt;br/&gt;(nominal)</t>
        </is>
      </c>
      <c r="H1" s="1" t="inlineStr">
        <is>
          <t>Complete data?</t>
        </is>
      </c>
      <c r="I1" s="1" t="inlineStr">
        <is>
          <t>GDP (nominal)</t>
        </is>
      </c>
      <c r="J1" s="1" t="inlineStr">
        <is>
          <t>Density per km2</t>
        </is>
      </c>
      <c r="K1" s="1" t="inlineStr">
        <is>
          <t>IIWiki bytes</t>
        </is>
      </c>
      <c r="L1" s="1" t="inlineStr">
        <is>
          <t>Main contributor</t>
        </is>
      </c>
      <c r="M1" s="1" t="inlineStr">
        <is>
          <t>Key (nations.js)</t>
        </is>
      </c>
      <c r="N1" s="1" t="inlineStr">
        <is>
          <t>Full name</t>
        </is>
      </c>
      <c r="O1" s="1" t="inlineStr">
        <is>
          <t>Highlight colour</t>
        </is>
      </c>
      <c r="P1" s="1" t="inlineStr">
        <is>
          <t>Has territory on the map?</t>
        </is>
      </c>
      <c r="Q1" s="1" t="inlineStr">
        <is>
          <t>Area shown on map (km2)</t>
        </is>
      </c>
      <c r="R1" s="1" t="inlineStr">
        <is>
          <t>Fields from secondary source</t>
        </is>
      </c>
      <c r="S1" s="1" t="inlineStr">
        <is>
          <t>NPC</t>
        </is>
      </c>
    </row>
    <row r="2">
      <c r="A2" s="3" t="inlineStr">
        <is>
          <t>Abantium</t>
        </is>
      </c>
      <c r="B2" s="3" t="inlineStr">
        <is>
          <t>Inhlokodolobha</t>
        </is>
      </c>
      <c r="C2" s="3">
        <f>CONCATENATE("{{flag|",A2,"}}")</f>
        <v/>
      </c>
      <c r="D2" s="3">
        <f>CONCATENATE("[[",B2,"]]")</f>
        <v/>
      </c>
      <c r="E2" s="4" t="n">
        <v>213180</v>
      </c>
      <c r="F2" s="4" t="n">
        <v>62000000</v>
      </c>
      <c r="G2" s="4" t="n"/>
      <c r="H2" s="5">
        <f>COUNT(E2:G2)</f>
        <v/>
      </c>
      <c r="I2" s="4">
        <f>IF(OR(F2="",G2=""),"",F2*G2)</f>
        <v/>
      </c>
      <c r="J2" s="6">
        <f>IF(OR(E2="",F2=""),"",F2/E2)</f>
        <v/>
      </c>
      <c r="K2" s="3" t="n"/>
      <c r="L2" s="3" t="n"/>
      <c r="M2" s="3" t="inlineStr">
        <is>
          <t>Abantium</t>
        </is>
      </c>
      <c r="N2" s="3" t="inlineStr">
        <is>
          <t>Abantium</t>
        </is>
      </c>
      <c r="O2" s="7" t="inlineStr">
        <is>
          <t>#000000</t>
        </is>
      </c>
      <c r="P2" s="3" t="inlineStr">
        <is>
          <t>yes</t>
        </is>
      </c>
      <c r="Q2" s="4" t="n"/>
      <c r="R2" s="3" t="inlineStr">
        <is>
          <t>capital, population, landArea</t>
        </is>
      </c>
      <c r="S2" s="3" t="n"/>
    </row>
    <row r="3">
      <c r="A3" s="3" t="inlineStr">
        <is>
          <t>Adaptus</t>
        </is>
      </c>
      <c r="B3" s="3" t="inlineStr">
        <is>
          <t>Novumcastrum</t>
        </is>
      </c>
      <c r="C3" s="3">
        <f>CONCATENATE("{{flag|",A3,"}}")</f>
        <v/>
      </c>
      <c r="D3" s="3">
        <f>CONCATENATE("[[",B3,"]]")</f>
        <v/>
      </c>
      <c r="E3" s="4" t="n">
        <v>1326602</v>
      </c>
      <c r="F3" s="4" t="n">
        <v>224540000</v>
      </c>
      <c r="G3" s="4" t="n">
        <v>30527</v>
      </c>
      <c r="H3" s="5">
        <f>COUNT(E3:G3)</f>
        <v/>
      </c>
      <c r="I3" s="4">
        <f>IF(OR(F3="",G3=""),"",F3*G3)</f>
        <v/>
      </c>
      <c r="J3" s="6">
        <f>IF(OR(E3="",F3=""),"",F3/E3)</f>
        <v/>
      </c>
      <c r="K3" s="3" t="n"/>
      <c r="L3" s="3" t="n"/>
      <c r="M3" s="3" t="inlineStr">
        <is>
          <t>Adaptus</t>
        </is>
      </c>
      <c r="N3" s="3" t="inlineStr">
        <is>
          <t>Adaptus</t>
        </is>
      </c>
      <c r="O3" s="8" t="inlineStr">
        <is>
          <t>#7b0528</t>
        </is>
      </c>
      <c r="P3" s="3" t="inlineStr">
        <is>
          <t>yes</t>
        </is>
      </c>
      <c r="Q3" s="4" t="n"/>
      <c r="R3" s="3" t="inlineStr">
        <is>
          <t>capital, population, gdppc, landArea</t>
        </is>
      </c>
      <c r="S3" s="3" t="n"/>
    </row>
    <row r="4">
      <c r="A4" s="3" t="inlineStr">
        <is>
          <t>Afropa</t>
        </is>
      </c>
      <c r="B4" s="3" t="inlineStr">
        <is>
          <t>Dieudonné</t>
        </is>
      </c>
      <c r="C4" s="3">
        <f>CONCATENATE("{{flag|",A4,"}}")</f>
        <v/>
      </c>
      <c r="D4" s="3">
        <f>CONCATENATE("[[",B4,"]]")</f>
        <v/>
      </c>
      <c r="E4" s="4" t="n">
        <v>413741</v>
      </c>
      <c r="F4" s="4" t="n">
        <v>15300000</v>
      </c>
      <c r="G4" s="4" t="n">
        <v>6195</v>
      </c>
      <c r="H4" s="5">
        <f>COUNT(E4:G4)</f>
        <v/>
      </c>
      <c r="I4" s="4">
        <f>IF(OR(F4="",G4=""),"",F4*G4)</f>
        <v/>
      </c>
      <c r="J4" s="6">
        <f>IF(OR(E4="",F4=""),"",F4/E4)</f>
        <v/>
      </c>
      <c r="K4" s="3" t="n"/>
      <c r="L4" s="3" t="n"/>
      <c r="M4" s="3" t="inlineStr">
        <is>
          <t>Afropa</t>
        </is>
      </c>
      <c r="N4" s="3" t="inlineStr">
        <is>
          <t>Afropa</t>
        </is>
      </c>
      <c r="O4" s="9" t="inlineStr">
        <is>
          <t>#ffffff</t>
        </is>
      </c>
      <c r="P4" s="3" t="inlineStr">
        <is>
          <t>yes</t>
        </is>
      </c>
      <c r="Q4" s="4" t="n"/>
      <c r="R4" s="3" t="inlineStr">
        <is>
          <t>capital, population, gdppc, landArea</t>
        </is>
      </c>
      <c r="S4" s="3" t="n"/>
    </row>
    <row r="5">
      <c r="A5" s="3" t="inlineStr">
        <is>
          <t>Ahrana</t>
        </is>
      </c>
      <c r="B5" s="3" t="inlineStr">
        <is>
          <t>Moskovo</t>
        </is>
      </c>
      <c r="C5" s="3">
        <f>CONCATENATE("{{flag|",A5,"}}")</f>
        <v/>
      </c>
      <c r="D5" s="3">
        <f>CONCATENATE("[[",B5,"]]")</f>
        <v/>
      </c>
      <c r="E5" s="4" t="n">
        <v>715000</v>
      </c>
      <c r="F5" s="4" t="n">
        <v>100000000</v>
      </c>
      <c r="G5" s="4" t="n">
        <v>19999</v>
      </c>
      <c r="H5" s="5">
        <f>COUNT(E5:G5)</f>
        <v/>
      </c>
      <c r="I5" s="4">
        <f>IF(OR(F5="",G5=""),"",F5*G5)</f>
        <v/>
      </c>
      <c r="J5" s="6">
        <f>IF(OR(E5="",F5=""),"",F5/E5)</f>
        <v/>
      </c>
      <c r="K5" s="3" t="n"/>
      <c r="L5" s="3" t="n"/>
      <c r="M5" s="3" t="inlineStr">
        <is>
          <t>Ahrana</t>
        </is>
      </c>
      <c r="N5" s="3" t="inlineStr">
        <is>
          <t>Ahrana</t>
        </is>
      </c>
      <c r="O5" s="10" t="inlineStr">
        <is>
          <t>#fecb07</t>
        </is>
      </c>
      <c r="P5" s="3" t="inlineStr">
        <is>
          <t>yes</t>
        </is>
      </c>
      <c r="Q5" s="4" t="n"/>
      <c r="R5" s="3" t="inlineStr">
        <is>
          <t>capital</t>
        </is>
      </c>
      <c r="S5" s="3" t="n"/>
    </row>
    <row r="6">
      <c r="A6" s="3" t="inlineStr">
        <is>
          <t>Akwisia</t>
        </is>
      </c>
      <c r="B6" s="3" t="inlineStr">
        <is>
          <t>Brandhaefen</t>
        </is>
      </c>
      <c r="C6" s="3">
        <f>CONCATENATE("{{flag|",A6,"}}")</f>
        <v/>
      </c>
      <c r="D6" s="3">
        <f>CONCATENATE("[[",B6,"]]")</f>
        <v/>
      </c>
      <c r="E6" s="4" t="n"/>
      <c r="F6" s="4" t="n"/>
      <c r="G6" s="4" t="n"/>
      <c r="H6" s="5">
        <f>COUNT(E6:G6)</f>
        <v/>
      </c>
      <c r="I6" s="4">
        <f>IF(OR(F6="",G6=""),"",F6*G6)</f>
        <v/>
      </c>
      <c r="J6" s="6">
        <f>IF(OR(E6="",F6=""),"",F6/E6)</f>
        <v/>
      </c>
      <c r="K6" s="3" t="n"/>
      <c r="L6" s="3" t="n"/>
      <c r="M6" s="3" t="inlineStr">
        <is>
          <t>Akwisia</t>
        </is>
      </c>
      <c r="N6" s="3" t="inlineStr">
        <is>
          <t>Akwisia</t>
        </is>
      </c>
      <c r="O6" s="11" t="inlineStr">
        <is>
          <t>#47aaff</t>
        </is>
      </c>
      <c r="P6" s="3" t="inlineStr">
        <is>
          <t>yes</t>
        </is>
      </c>
      <c r="Q6" s="4" t="n"/>
      <c r="R6" s="3" t="n"/>
      <c r="S6" s="3" t="n"/>
    </row>
    <row r="7">
      <c r="A7" s="3" t="inlineStr">
        <is>
          <t>Aldace</t>
        </is>
      </c>
      <c r="B7" s="3" t="inlineStr">
        <is>
          <t>Sotheris</t>
        </is>
      </c>
      <c r="C7" s="3">
        <f>CONCATENATE("{{flag|",A7,"}}")</f>
        <v/>
      </c>
      <c r="D7" s="3">
        <f>CONCATENATE("[[",B7,"]]")</f>
        <v/>
      </c>
      <c r="E7" s="4" t="n">
        <v>411365</v>
      </c>
      <c r="F7" s="4" t="n">
        <v>34642780</v>
      </c>
      <c r="G7" s="4" t="n">
        <v>26532</v>
      </c>
      <c r="H7" s="5">
        <f>COUNT(E7:G7)</f>
        <v/>
      </c>
      <c r="I7" s="4">
        <f>IF(OR(F7="",G7=""),"",F7*G7)</f>
        <v/>
      </c>
      <c r="J7" s="6">
        <f>IF(OR(E7="",F7=""),"",F7/E7)</f>
        <v/>
      </c>
      <c r="K7" s="3" t="n"/>
      <c r="L7" s="3" t="n"/>
      <c r="M7" s="3" t="inlineStr">
        <is>
          <t>Aldace</t>
        </is>
      </c>
      <c r="N7" s="3" t="inlineStr">
        <is>
          <t>Aldace</t>
        </is>
      </c>
      <c r="O7" s="12" t="inlineStr">
        <is>
          <t>#001b4b</t>
        </is>
      </c>
      <c r="P7" s="3" t="inlineStr">
        <is>
          <t>yes</t>
        </is>
      </c>
      <c r="Q7" s="4" t="n"/>
      <c r="R7" s="3" t="inlineStr">
        <is>
          <t>capital</t>
        </is>
      </c>
      <c r="S7" s="3" t="n"/>
    </row>
    <row r="8">
      <c r="A8" s="3" t="inlineStr">
        <is>
          <t>Alvernia</t>
        </is>
      </c>
      <c r="B8" s="3" t="inlineStr">
        <is>
          <t>Soncinia</t>
        </is>
      </c>
      <c r="C8" s="3">
        <f>CONCATENATE("{{flag|",A8,"}}")</f>
        <v/>
      </c>
      <c r="D8" s="3">
        <f>CONCATENATE("[[",B8,"]]")</f>
        <v/>
      </c>
      <c r="E8" s="4" t="n">
        <v>165016</v>
      </c>
      <c r="F8" s="4" t="n">
        <v>9234678</v>
      </c>
      <c r="G8" s="4" t="n">
        <v>15613</v>
      </c>
      <c r="H8" s="5">
        <f>COUNT(E8:G8)</f>
        <v/>
      </c>
      <c r="I8" s="4">
        <f>IF(OR(F8="",G8=""),"",F8*G8)</f>
        <v/>
      </c>
      <c r="J8" s="6">
        <f>IF(OR(E8="",F8=""),"",F8/E8)</f>
        <v/>
      </c>
      <c r="K8" s="3" t="n"/>
      <c r="L8" s="3" t="n"/>
      <c r="M8" s="3" t="inlineStr">
        <is>
          <t>Alvernia</t>
        </is>
      </c>
      <c r="N8" s="3" t="inlineStr">
        <is>
          <t>Alvernia</t>
        </is>
      </c>
      <c r="O8" s="3" t="n"/>
      <c r="P8" s="3" t="inlineStr">
        <is>
          <t>no</t>
        </is>
      </c>
      <c r="Q8" s="4" t="n"/>
      <c r="R8" s="3" t="inlineStr">
        <is>
          <t>capital, population, gdppc, landArea</t>
        </is>
      </c>
      <c r="S8" s="3" t="n"/>
    </row>
    <row r="9">
      <c r="A9" s="3" t="inlineStr">
        <is>
          <t>Andalla</t>
        </is>
      </c>
      <c r="B9" s="3" t="inlineStr">
        <is>
          <t>Arkhavn</t>
        </is>
      </c>
      <c r="C9" s="3">
        <f>CONCATENATE("{{flag|",A9,"}}")</f>
        <v/>
      </c>
      <c r="D9" s="3">
        <f>CONCATENATE("[[",B9,"]]")</f>
        <v/>
      </c>
      <c r="E9" s="4" t="n">
        <v>72931</v>
      </c>
      <c r="F9" s="4" t="n">
        <v>28036248</v>
      </c>
      <c r="G9" s="4" t="n">
        <v>23143</v>
      </c>
      <c r="H9" s="5">
        <f>COUNT(E9:G9)</f>
        <v/>
      </c>
      <c r="I9" s="4">
        <f>IF(OR(F9="",G9=""),"",F9*G9)</f>
        <v/>
      </c>
      <c r="J9" s="6">
        <f>IF(OR(E9="",F9=""),"",F9/E9)</f>
        <v/>
      </c>
      <c r="K9" s="3" t="n"/>
      <c r="L9" s="3" t="n"/>
      <c r="M9" s="3" t="inlineStr">
        <is>
          <t>Andalla</t>
        </is>
      </c>
      <c r="N9" s="3" t="inlineStr">
        <is>
          <t>Andalla</t>
        </is>
      </c>
      <c r="O9" s="13" t="inlineStr">
        <is>
          <t>#b71f32</t>
        </is>
      </c>
      <c r="P9" s="3" t="inlineStr">
        <is>
          <t>yes</t>
        </is>
      </c>
      <c r="Q9" s="4" t="n"/>
      <c r="R9" s="3" t="inlineStr">
        <is>
          <t>capital, population, gdppc, landArea</t>
        </is>
      </c>
      <c r="S9" s="3" t="n"/>
    </row>
    <row r="10">
      <c r="A10" s="3" t="inlineStr">
        <is>
          <t>Arneland</t>
        </is>
      </c>
      <c r="B10" s="3" t="inlineStr">
        <is>
          <t>Port Pinella</t>
        </is>
      </c>
      <c r="C10" s="3">
        <f>CONCATENATE("{{flag|",A10,"}}")</f>
        <v/>
      </c>
      <c r="D10" s="3">
        <f>CONCATENATE("[[",B10,"]]")</f>
        <v/>
      </c>
      <c r="E10" s="4" t="n">
        <v>249000</v>
      </c>
      <c r="F10" s="4" t="n">
        <v>42537851</v>
      </c>
      <c r="G10" s="4" t="n">
        <v>28911</v>
      </c>
      <c r="H10" s="5">
        <f>COUNT(E10:G10)</f>
        <v/>
      </c>
      <c r="I10" s="4">
        <f>IF(OR(F10="",G10=""),"",F10*G10)</f>
        <v/>
      </c>
      <c r="J10" s="6">
        <f>IF(OR(E10="",F10=""),"",F10/E10)</f>
        <v/>
      </c>
      <c r="K10" s="3" t="n"/>
      <c r="L10" s="3" t="n"/>
      <c r="M10" s="3" t="inlineStr">
        <is>
          <t>Arneland</t>
        </is>
      </c>
      <c r="N10" s="3" t="inlineStr">
        <is>
          <t>Arneland</t>
        </is>
      </c>
      <c r="O10" s="14" t="inlineStr">
        <is>
          <t>#bd0b31</t>
        </is>
      </c>
      <c r="P10" s="3" t="inlineStr">
        <is>
          <t>yes</t>
        </is>
      </c>
      <c r="Q10" s="4" t="n"/>
      <c r="R10" s="3" t="inlineStr">
        <is>
          <t>capital</t>
        </is>
      </c>
      <c r="S10" s="3" t="n"/>
    </row>
    <row r="11">
      <c r="A11" s="3" t="inlineStr">
        <is>
          <t>Astrini</t>
        </is>
      </c>
      <c r="B11" s="3" t="n"/>
      <c r="C11" s="3">
        <f>CONCATENATE("{{flag|",A11,"}}")</f>
        <v/>
      </c>
      <c r="D11" s="3">
        <f>CONCATENATE("[[",B11,"]]")</f>
        <v/>
      </c>
      <c r="E11" s="4" t="n"/>
      <c r="F11" s="4" t="n"/>
      <c r="G11" s="4" t="n"/>
      <c r="H11" s="5">
        <f>COUNT(E11:G11)</f>
        <v/>
      </c>
      <c r="I11" s="4">
        <f>IF(OR(F11="",G11=""),"",F11*G11)</f>
        <v/>
      </c>
      <c r="J11" s="6">
        <f>IF(OR(E11="",F11=""),"",F11/E11)</f>
        <v/>
      </c>
      <c r="K11" s="3" t="n"/>
      <c r="L11" s="3" t="n"/>
      <c r="M11" s="3" t="inlineStr">
        <is>
          <t>Astrini</t>
        </is>
      </c>
      <c r="N11" s="3" t="inlineStr">
        <is>
          <t>Astrini</t>
        </is>
      </c>
      <c r="O11" s="15" t="inlineStr">
        <is>
          <t>#b50000</t>
        </is>
      </c>
      <c r="P11" s="3" t="inlineStr">
        <is>
          <t>yes</t>
        </is>
      </c>
      <c r="Q11" s="4" t="n"/>
      <c r="R11" s="3" t="n"/>
      <c r="S11" s="3" t="n"/>
    </row>
    <row r="12">
      <c r="A12" s="3" t="inlineStr">
        <is>
          <t>Aurora</t>
        </is>
      </c>
      <c r="B12" s="3" t="inlineStr">
        <is>
          <t>Tavares</t>
        </is>
      </c>
      <c r="C12" s="3">
        <f>CONCATENATE("{{flag|",A12,"}}")</f>
        <v/>
      </c>
      <c r="D12" s="3">
        <f>CONCATENATE("[[",B12,"]]")</f>
        <v/>
      </c>
      <c r="E12" s="4" t="n">
        <v>91636</v>
      </c>
      <c r="F12" s="4" t="n">
        <v>42427468</v>
      </c>
      <c r="G12" s="4" t="n">
        <v>51005</v>
      </c>
      <c r="H12" s="5">
        <f>COUNT(E12:G12)</f>
        <v/>
      </c>
      <c r="I12" s="4">
        <f>IF(OR(F12="",G12=""),"",F12*G12)</f>
        <v/>
      </c>
      <c r="J12" s="6">
        <f>IF(OR(E12="",F12=""),"",F12/E12)</f>
        <v/>
      </c>
      <c r="K12" s="3" t="n"/>
      <c r="L12" s="3" t="n"/>
      <c r="M12" s="3" t="inlineStr">
        <is>
          <t>Aurora</t>
        </is>
      </c>
      <c r="N12" s="3" t="inlineStr">
        <is>
          <t>Republic of Aurora</t>
        </is>
      </c>
      <c r="O12" s="16" t="inlineStr">
        <is>
          <t>#ff8b00</t>
        </is>
      </c>
      <c r="P12" s="3" t="inlineStr">
        <is>
          <t>yes</t>
        </is>
      </c>
      <c r="Q12" s="4" t="n"/>
      <c r="R12" s="3" t="n"/>
      <c r="S12" s="3" t="n"/>
    </row>
    <row r="13">
      <c r="A13" s="3" t="inlineStr">
        <is>
          <t>Ayubi</t>
        </is>
      </c>
      <c r="B13" s="3" t="inlineStr">
        <is>
          <t>Alhafa</t>
        </is>
      </c>
      <c r="C13" s="3">
        <f>CONCATENATE("{{flag|",A13,"}}")</f>
        <v/>
      </c>
      <c r="D13" s="3">
        <f>CONCATENATE("[[",B13,"]]")</f>
        <v/>
      </c>
      <c r="E13" s="4" t="n">
        <v>53751</v>
      </c>
      <c r="F13" s="4" t="n">
        <v>1303569</v>
      </c>
      <c r="G13" s="4" t="n">
        <v>68457</v>
      </c>
      <c r="H13" s="5">
        <f>COUNT(E13:G13)</f>
        <v/>
      </c>
      <c r="I13" s="4">
        <f>IF(OR(F13="",G13=""),"",F13*G13)</f>
        <v/>
      </c>
      <c r="J13" s="6">
        <f>IF(OR(E13="",F13=""),"",F13/E13)</f>
        <v/>
      </c>
      <c r="K13" s="3" t="n"/>
      <c r="L13" s="3" t="n"/>
      <c r="M13" s="3" t="inlineStr">
        <is>
          <t>Ayubi</t>
        </is>
      </c>
      <c r="N13" s="3" t="inlineStr">
        <is>
          <t>Ayubi</t>
        </is>
      </c>
      <c r="O13" s="9" t="inlineStr">
        <is>
          <t>#ffffff</t>
        </is>
      </c>
      <c r="P13" s="3" t="inlineStr">
        <is>
          <t>yes</t>
        </is>
      </c>
      <c r="Q13" s="4" t="n"/>
      <c r="R13" s="3" t="inlineStr">
        <is>
          <t>capital, population, gdppc, landArea</t>
        </is>
      </c>
      <c r="S13" s="3" t="n"/>
    </row>
    <row r="14">
      <c r="A14" s="3" t="inlineStr">
        <is>
          <t>Bainbridge Islands</t>
        </is>
      </c>
      <c r="B14" s="3" t="inlineStr">
        <is>
          <t>Honolulu</t>
        </is>
      </c>
      <c r="C14" s="3">
        <f>CONCATENATE("{{flag|",A14,"}}")</f>
        <v/>
      </c>
      <c r="D14" s="3">
        <f>CONCATENATE("[[",B14,"]]")</f>
        <v/>
      </c>
      <c r="E14" s="4" t="n">
        <v>309613</v>
      </c>
      <c r="F14" s="4" t="n">
        <v>18900000</v>
      </c>
      <c r="G14" s="4" t="n">
        <v>48033</v>
      </c>
      <c r="H14" s="5">
        <f>COUNT(E14:G14)</f>
        <v/>
      </c>
      <c r="I14" s="4">
        <f>IF(OR(F14="",G14=""),"",F14*G14)</f>
        <v/>
      </c>
      <c r="J14" s="6">
        <f>IF(OR(E14="",F14=""),"",F14/E14)</f>
        <v/>
      </c>
      <c r="K14" s="3" t="n"/>
      <c r="L14" s="3" t="n"/>
      <c r="M14" s="3" t="inlineStr">
        <is>
          <t>Bainbridge-Islands</t>
        </is>
      </c>
      <c r="N14" s="3" t="inlineStr">
        <is>
          <t>Bainbridge Islands</t>
        </is>
      </c>
      <c r="O14" s="17" t="inlineStr">
        <is>
          <t>#06166c</t>
        </is>
      </c>
      <c r="P14" s="3" t="inlineStr">
        <is>
          <t>yes</t>
        </is>
      </c>
      <c r="Q14" s="4" t="n"/>
      <c r="R14" s="3" t="inlineStr">
        <is>
          <t>capital, population, gdppc, landArea</t>
        </is>
      </c>
      <c r="S14" s="3" t="n"/>
    </row>
    <row r="15">
      <c r="A15" s="3" t="inlineStr">
        <is>
          <t>Baltica</t>
        </is>
      </c>
      <c r="B15" s="3" t="inlineStr">
        <is>
          <t>Kauni</t>
        </is>
      </c>
      <c r="C15" s="3">
        <f>CONCATENATE("{{flag|",A15,"}}")</f>
        <v/>
      </c>
      <c r="D15" s="3">
        <f>CONCATENATE("[[",B15,"]]")</f>
        <v/>
      </c>
      <c r="E15" s="4" t="n">
        <v>262000</v>
      </c>
      <c r="F15" s="4" t="n">
        <v>28512444</v>
      </c>
      <c r="G15" s="4" t="n">
        <v>11942</v>
      </c>
      <c r="H15" s="5">
        <f>COUNT(E15:G15)</f>
        <v/>
      </c>
      <c r="I15" s="4">
        <f>IF(OR(F15="",G15=""),"",F15*G15)</f>
        <v/>
      </c>
      <c r="J15" s="6">
        <f>IF(OR(E15="",F15=""),"",F15/E15)</f>
        <v/>
      </c>
      <c r="K15" s="3" t="n"/>
      <c r="L15" s="3" t="n"/>
      <c r="M15" s="3" t="inlineStr">
        <is>
          <t>Baltica</t>
        </is>
      </c>
      <c r="N15" s="3" t="inlineStr">
        <is>
          <t>United Federation of Baltica</t>
        </is>
      </c>
      <c r="O15" s="18" t="inlineStr">
        <is>
          <t>#fdba0b</t>
        </is>
      </c>
      <c r="P15" s="3" t="inlineStr">
        <is>
          <t>yes</t>
        </is>
      </c>
      <c r="Q15" s="4" t="n"/>
      <c r="R15" s="3" t="n"/>
      <c r="S15" s="3" t="n"/>
    </row>
    <row r="16">
      <c r="A16" s="3" t="inlineStr">
        <is>
          <t>Bamraland</t>
        </is>
      </c>
      <c r="B16" s="3" t="inlineStr">
        <is>
          <t>Langpauya</t>
        </is>
      </c>
      <c r="C16" s="3">
        <f>CONCATENATE("{{flag|",A16,"}}")</f>
        <v/>
      </c>
      <c r="D16" s="3">
        <f>CONCATENATE("[[",B16,"]]")</f>
        <v/>
      </c>
      <c r="E16" s="4" t="n">
        <v>699908</v>
      </c>
      <c r="F16" s="4" t="n">
        <v>75311923</v>
      </c>
      <c r="G16" s="4" t="n">
        <v>7915</v>
      </c>
      <c r="H16" s="5">
        <f>COUNT(E16:G16)</f>
        <v/>
      </c>
      <c r="I16" s="4">
        <f>IF(OR(F16="",G16=""),"",F16*G16)</f>
        <v/>
      </c>
      <c r="J16" s="6">
        <f>IF(OR(E16="",F16=""),"",F16/E16)</f>
        <v/>
      </c>
      <c r="K16" s="3" t="n"/>
      <c r="L16" s="3" t="n"/>
      <c r="M16" s="3" t="inlineStr">
        <is>
          <t>Bamraland</t>
        </is>
      </c>
      <c r="N16" s="3" t="inlineStr">
        <is>
          <t>Bamraland</t>
        </is>
      </c>
      <c r="O16" s="19" t="inlineStr">
        <is>
          <t>#1f41b4</t>
        </is>
      </c>
      <c r="P16" s="3" t="inlineStr">
        <is>
          <t>yes</t>
        </is>
      </c>
      <c r="Q16" s="4" t="n">
        <v>419184</v>
      </c>
      <c r="R16" s="3" t="n"/>
      <c r="S16" s="3" t="n"/>
    </row>
    <row r="17">
      <c r="A17" s="3" t="inlineStr">
        <is>
          <t>Bashan</t>
        </is>
      </c>
      <c r="B17" s="3" t="inlineStr">
        <is>
          <t>En Gannim</t>
        </is>
      </c>
      <c r="C17" s="3">
        <f>CONCATENATE("{{flag|",A17,"}}")</f>
        <v/>
      </c>
      <c r="D17" s="3">
        <f>CONCATENATE("[[",B17,"]]")</f>
        <v/>
      </c>
      <c r="E17" s="4" t="n">
        <v>239200</v>
      </c>
      <c r="F17" s="4" t="n">
        <v>8146286</v>
      </c>
      <c r="G17" s="4" t="n">
        <v>24539</v>
      </c>
      <c r="H17" s="5">
        <f>COUNT(E17:G17)</f>
        <v/>
      </c>
      <c r="I17" s="4">
        <f>IF(OR(F17="",G17=""),"",F17*G17)</f>
        <v/>
      </c>
      <c r="J17" s="6">
        <f>IF(OR(E17="",F17=""),"",F17/E17)</f>
        <v/>
      </c>
      <c r="K17" s="3" t="n"/>
      <c r="L17" s="3" t="n"/>
      <c r="M17" s="3" t="inlineStr">
        <is>
          <t>Bashan</t>
        </is>
      </c>
      <c r="N17" s="3" t="inlineStr">
        <is>
          <t>Bashan</t>
        </is>
      </c>
      <c r="O17" s="20" t="inlineStr">
        <is>
          <t>#0e073d</t>
        </is>
      </c>
      <c r="P17" s="3" t="inlineStr">
        <is>
          <t>yes</t>
        </is>
      </c>
      <c r="Q17" s="4" t="n"/>
      <c r="R17" s="3" t="inlineStr">
        <is>
          <t>capital, population, gdppc, landArea</t>
        </is>
      </c>
      <c r="S17" s="3" t="n"/>
    </row>
    <row r="18">
      <c r="A18" s="3" t="inlineStr">
        <is>
          <t>Breugua</t>
        </is>
      </c>
      <c r="B18" s="3" t="inlineStr">
        <is>
          <t>Montelago</t>
        </is>
      </c>
      <c r="C18" s="3">
        <f>CONCATENATE("{{flag|",A18,"}}")</f>
        <v/>
      </c>
      <c r="D18" s="3">
        <f>CONCATENATE("[[",B18,"]]")</f>
        <v/>
      </c>
      <c r="E18" s="4" t="n"/>
      <c r="F18" s="4" t="n"/>
      <c r="G18" s="4" t="n"/>
      <c r="H18" s="5">
        <f>COUNT(E18:G18)</f>
        <v/>
      </c>
      <c r="I18" s="4">
        <f>IF(OR(F18="",G18=""),"",F18*G18)</f>
        <v/>
      </c>
      <c r="J18" s="6">
        <f>IF(OR(E18="",F18=""),"",F18/E18)</f>
        <v/>
      </c>
      <c r="K18" s="3" t="n"/>
      <c r="L18" s="3" t="n"/>
      <c r="M18" s="3" t="inlineStr">
        <is>
          <t>Breugua</t>
        </is>
      </c>
      <c r="N18" s="3" t="inlineStr">
        <is>
          <t>Breugua</t>
        </is>
      </c>
      <c r="O18" s="21" t="inlineStr">
        <is>
          <t>#1183c4</t>
        </is>
      </c>
      <c r="P18" s="3" t="inlineStr">
        <is>
          <t>yes</t>
        </is>
      </c>
      <c r="Q18" s="4" t="n"/>
      <c r="R18" s="3" t="n"/>
      <c r="S18" s="3" t="n"/>
    </row>
    <row r="19">
      <c r="A19" s="3" t="inlineStr">
        <is>
          <t>Burkini</t>
        </is>
      </c>
      <c r="B19" s="3" t="inlineStr">
        <is>
          <t>Cronulla</t>
        </is>
      </c>
      <c r="C19" s="3">
        <f>CONCATENATE("{{flag|",A19,"}}")</f>
        <v/>
      </c>
      <c r="D19" s="3">
        <f>CONCATENATE("[[",B19,"]]")</f>
        <v/>
      </c>
      <c r="E19" s="4" t="n">
        <v>1007</v>
      </c>
      <c r="F19" s="4" t="n">
        <v>55786</v>
      </c>
      <c r="G19" s="4" t="n"/>
      <c r="H19" s="5">
        <f>COUNT(E19:G19)</f>
        <v/>
      </c>
      <c r="I19" s="4">
        <f>IF(OR(F19="",G19=""),"",F19*G19)</f>
        <v/>
      </c>
      <c r="J19" s="6">
        <f>IF(OR(E19="",F19=""),"",F19/E19)</f>
        <v/>
      </c>
      <c r="K19" s="3" t="n"/>
      <c r="L19" s="3" t="n"/>
      <c r="M19" s="3" t="inlineStr">
        <is>
          <t>Burkini</t>
        </is>
      </c>
      <c r="N19" s="3" t="inlineStr">
        <is>
          <t>Burkini</t>
        </is>
      </c>
      <c r="O19" s="3" t="n"/>
      <c r="P19" s="3" t="inlineStr">
        <is>
          <t>no</t>
        </is>
      </c>
      <c r="Q19" s="4" t="n"/>
      <c r="R19" s="3" t="inlineStr">
        <is>
          <t>capital, population, landArea</t>
        </is>
      </c>
      <c r="S19" s="3" t="n"/>
    </row>
    <row r="20">
      <c r="A20" s="3" t="inlineStr">
        <is>
          <t>Caliveis</t>
        </is>
      </c>
      <c r="B20" s="3" t="inlineStr">
        <is>
          <t>Colina Marron</t>
        </is>
      </c>
      <c r="C20" s="3">
        <f>CONCATENATE("{{flag|",A20,"}}")</f>
        <v/>
      </c>
      <c r="D20" s="3">
        <f>CONCATENATE("[[",B20,"]]")</f>
        <v/>
      </c>
      <c r="E20" s="4" t="n"/>
      <c r="F20" s="4" t="n"/>
      <c r="G20" s="4" t="n"/>
      <c r="H20" s="5">
        <f>COUNT(E20:G20)</f>
        <v/>
      </c>
      <c r="I20" s="4">
        <f>IF(OR(F20="",G20=""),"",F20*G20)</f>
        <v/>
      </c>
      <c r="J20" s="6">
        <f>IF(OR(E20="",F20=""),"",F20/E20)</f>
        <v/>
      </c>
      <c r="K20" s="3" t="n"/>
      <c r="L20" s="3" t="n"/>
      <c r="M20" s="3" t="inlineStr">
        <is>
          <t>Caliveis</t>
        </is>
      </c>
      <c r="N20" s="3" t="inlineStr">
        <is>
          <t>Caliveis</t>
        </is>
      </c>
      <c r="O20" s="22" t="inlineStr">
        <is>
          <t>#ebbe2d</t>
        </is>
      </c>
      <c r="P20" s="3" t="inlineStr">
        <is>
          <t>yes</t>
        </is>
      </c>
      <c r="Q20" s="4" t="n"/>
      <c r="R20" s="3" t="n"/>
      <c r="S20" s="3" t="n"/>
    </row>
    <row r="21">
      <c r="A21" s="3" t="inlineStr">
        <is>
          <t>Centennia Cardina</t>
        </is>
      </c>
      <c r="B21" s="3" t="inlineStr">
        <is>
          <t>Verrone, the Stronghold City</t>
        </is>
      </c>
      <c r="C21" s="3">
        <f>CONCATENATE("{{flag|",A21,"}}")</f>
        <v/>
      </c>
      <c r="D21" s="3">
        <f>CONCATENATE("[[",B21,"]]")</f>
        <v/>
      </c>
      <c r="E21" s="4" t="n">
        <v>430000</v>
      </c>
      <c r="F21" s="4" t="n">
        <v>34000000</v>
      </c>
      <c r="G21" s="4" t="n">
        <v>29500</v>
      </c>
      <c r="H21" s="5">
        <f>COUNT(E21:G21)</f>
        <v/>
      </c>
      <c r="I21" s="4">
        <f>IF(OR(F21="",G21=""),"",F21*G21)</f>
        <v/>
      </c>
      <c r="J21" s="6">
        <f>IF(OR(E21="",F21=""),"",F21/E21)</f>
        <v/>
      </c>
      <c r="K21" s="3" t="n"/>
      <c r="L21" s="3" t="n"/>
      <c r="M21" s="3" t="inlineStr">
        <is>
          <t>Centennia-Cardina</t>
        </is>
      </c>
      <c r="N21" s="3" t="inlineStr">
        <is>
          <t>Democratic Republic of Centennia Cardina</t>
        </is>
      </c>
      <c r="O21" s="23" t="inlineStr">
        <is>
          <t>#ee5c6d</t>
        </is>
      </c>
      <c r="P21" s="3" t="inlineStr">
        <is>
          <t>yes</t>
        </is>
      </c>
      <c r="Q21" s="4" t="n"/>
      <c r="R21" s="3" t="n"/>
      <c r="S21" s="3" t="n"/>
    </row>
    <row r="22">
      <c r="A22" s="3" t="inlineStr">
        <is>
          <t>Charkov</t>
        </is>
      </c>
      <c r="B22" s="3" t="inlineStr">
        <is>
          <t>Kovchi</t>
        </is>
      </c>
      <c r="C22" s="3">
        <f>CONCATENATE("{{flag|",A22,"}}")</f>
        <v/>
      </c>
      <c r="D22" s="3">
        <f>CONCATENATE("[[",B22,"]]")</f>
        <v/>
      </c>
      <c r="E22" s="4" t="n">
        <v>245000</v>
      </c>
      <c r="F22" s="4" t="n">
        <v>23378665</v>
      </c>
      <c r="G22" s="4" t="n">
        <v>14407</v>
      </c>
      <c r="H22" s="5">
        <f>COUNT(E22:G22)</f>
        <v/>
      </c>
      <c r="I22" s="4">
        <f>IF(OR(F22="",G22=""),"",F22*G22)</f>
        <v/>
      </c>
      <c r="J22" s="6">
        <f>IF(OR(E22="",F22=""),"",F22/E22)</f>
        <v/>
      </c>
      <c r="K22" s="3" t="n"/>
      <c r="L22" s="3" t="n"/>
      <c r="M22" s="3" t="inlineStr">
        <is>
          <t>Charkov</t>
        </is>
      </c>
      <c r="N22" s="3" t="inlineStr">
        <is>
          <t>Second Federal Democratic Republic of Charkov</t>
        </is>
      </c>
      <c r="O22" s="24" t="inlineStr">
        <is>
          <t>#0064ac</t>
        </is>
      </c>
      <c r="P22" s="3" t="inlineStr">
        <is>
          <t>yes</t>
        </is>
      </c>
      <c r="Q22" s="4" t="n">
        <v>431604</v>
      </c>
      <c r="R22" s="3" t="n"/>
      <c r="S22" s="3" t="n"/>
    </row>
    <row r="23">
      <c r="A23" s="3" t="inlineStr">
        <is>
          <t>Cherkessk</t>
        </is>
      </c>
      <c r="B23" s="3" t="inlineStr">
        <is>
          <t>Zexkhe</t>
        </is>
      </c>
      <c r="C23" s="3">
        <f>CONCATENATE("{{flag|",A23,"}}")</f>
        <v/>
      </c>
      <c r="D23" s="3">
        <f>CONCATENATE("[[",B23,"]]")</f>
        <v/>
      </c>
      <c r="E23" s="4" t="n">
        <v>499351</v>
      </c>
      <c r="F23" s="4" t="n">
        <v>22500000</v>
      </c>
      <c r="G23" s="4" t="n">
        <v>38500</v>
      </c>
      <c r="H23" s="5">
        <f>COUNT(E23:G23)</f>
        <v/>
      </c>
      <c r="I23" s="4">
        <f>IF(OR(F23="",G23=""),"",F23*G23)</f>
        <v/>
      </c>
      <c r="J23" s="6">
        <f>IF(OR(E23="",F23=""),"",F23/E23)</f>
        <v/>
      </c>
      <c r="K23" s="3" t="n"/>
      <c r="L23" s="3" t="n"/>
      <c r="M23" s="3" t="inlineStr">
        <is>
          <t>Cherkessk</t>
        </is>
      </c>
      <c r="N23" s="3" t="inlineStr">
        <is>
          <t>Cherkessk</t>
        </is>
      </c>
      <c r="O23" s="25" t="inlineStr">
        <is>
          <t>#006a33</t>
        </is>
      </c>
      <c r="P23" s="3" t="inlineStr">
        <is>
          <t>yes</t>
        </is>
      </c>
      <c r="Q23" s="4" t="n"/>
      <c r="R23" s="3" t="inlineStr">
        <is>
          <t>capital, population, gdppc, landArea</t>
        </is>
      </c>
      <c r="S23" s="3" t="n"/>
    </row>
    <row r="24">
      <c r="A24" s="3" t="inlineStr">
        <is>
          <t>Coedana</t>
        </is>
      </c>
      <c r="B24" s="3" t="inlineStr">
        <is>
          <t>Baile na nOilean</t>
        </is>
      </c>
      <c r="C24" s="3">
        <f>CONCATENATE("{{flag|",A24,"}}")</f>
        <v/>
      </c>
      <c r="D24" s="3">
        <f>CONCATENATE("[[",B24,"]]")</f>
        <v/>
      </c>
      <c r="E24" s="4" t="n"/>
      <c r="F24" s="4" t="n"/>
      <c r="G24" s="4" t="n"/>
      <c r="H24" s="5">
        <f>COUNT(E24:G24)</f>
        <v/>
      </c>
      <c r="I24" s="4">
        <f>IF(OR(F24="",G24=""),"",F24*G24)</f>
        <v/>
      </c>
      <c r="J24" s="6">
        <f>IF(OR(E24="",F24=""),"",F24/E24)</f>
        <v/>
      </c>
      <c r="K24" s="3" t="n"/>
      <c r="L24" s="3" t="n"/>
      <c r="M24" s="3" t="inlineStr">
        <is>
          <t>Coedana</t>
        </is>
      </c>
      <c r="N24" s="3" t="inlineStr">
        <is>
          <t>Coedana</t>
        </is>
      </c>
      <c r="O24" s="26" t="inlineStr">
        <is>
          <t>#0c692a</t>
        </is>
      </c>
      <c r="P24" s="3" t="inlineStr">
        <is>
          <t>yes</t>
        </is>
      </c>
      <c r="Q24" s="4" t="n"/>
      <c r="R24" s="3" t="n"/>
      <c r="S24" s="3" t="n"/>
    </row>
    <row r="25">
      <c r="A25" s="3" t="inlineStr">
        <is>
          <t>Cristina</t>
        </is>
      </c>
      <c r="B25" s="3" t="inlineStr">
        <is>
          <t>Cristina</t>
        </is>
      </c>
      <c r="C25" s="3">
        <f>CONCATENATE("{{flag|",A25,"}}")</f>
        <v/>
      </c>
      <c r="D25" s="3">
        <f>CONCATENATE("[[",B25,"]]")</f>
        <v/>
      </c>
      <c r="E25" s="4" t="n">
        <v>1221</v>
      </c>
      <c r="F25" s="4" t="n">
        <v>7453682</v>
      </c>
      <c r="G25" s="4" t="n">
        <v>47306</v>
      </c>
      <c r="H25" s="5">
        <f>COUNT(E25:G25)</f>
        <v/>
      </c>
      <c r="I25" s="4">
        <f>IF(OR(F25="",G25=""),"",F25*G25)</f>
        <v/>
      </c>
      <c r="J25" s="6">
        <f>IF(OR(E25="",F25=""),"",F25/E25)</f>
        <v/>
      </c>
      <c r="K25" s="3" t="n"/>
      <c r="L25" s="3" t="n"/>
      <c r="M25" s="3" t="inlineStr">
        <is>
          <t>Cristina</t>
        </is>
      </c>
      <c r="N25" s="3" t="inlineStr">
        <is>
          <t>Cristina</t>
        </is>
      </c>
      <c r="O25" s="3" t="n"/>
      <c r="P25" s="3" t="inlineStr">
        <is>
          <t>no</t>
        </is>
      </c>
      <c r="Q25" s="4" t="n"/>
      <c r="R25" s="3" t="inlineStr">
        <is>
          <t>capital, population, gdppc, landArea</t>
        </is>
      </c>
      <c r="S25" s="3" t="n"/>
    </row>
    <row r="26">
      <c r="A26" s="3" t="inlineStr">
        <is>
          <t>Cruciastada</t>
        </is>
      </c>
      <c r="B26" s="3" t="n"/>
      <c r="C26" s="3">
        <f>CONCATENATE("{{flag|",A26,"}}")</f>
        <v/>
      </c>
      <c r="D26" s="3">
        <f>CONCATENATE("[[",B26,"]]")</f>
        <v/>
      </c>
      <c r="E26" s="4" t="n">
        <v>553881</v>
      </c>
      <c r="F26" s="4" t="n">
        <v>74741200</v>
      </c>
      <c r="G26" s="4" t="n">
        <v>26152.24</v>
      </c>
      <c r="H26" s="5">
        <f>COUNT(E26:G26)</f>
        <v/>
      </c>
      <c r="I26" s="4">
        <f>IF(OR(F26="",G26=""),"",F26*G26)</f>
        <v/>
      </c>
      <c r="J26" s="6">
        <f>IF(OR(E26="",F26=""),"",F26/E26)</f>
        <v/>
      </c>
      <c r="K26" s="3" t="n"/>
      <c r="L26" s="3" t="n"/>
      <c r="M26" s="3" t="inlineStr">
        <is>
          <t>Cruciastada</t>
        </is>
      </c>
      <c r="N26" s="3" t="inlineStr">
        <is>
          <t>Cruciastada</t>
        </is>
      </c>
      <c r="O26" s="27" t="inlineStr">
        <is>
          <t>#480d27</t>
        </is>
      </c>
      <c r="P26" s="3" t="inlineStr">
        <is>
          <t>yes</t>
        </is>
      </c>
      <c r="Q26" s="4" t="n"/>
      <c r="R26" s="3" t="n"/>
      <c r="S26" s="3" t="n"/>
    </row>
    <row r="27">
      <c r="A27" s="3" t="inlineStr">
        <is>
          <t>Damak Var</t>
        </is>
      </c>
      <c r="B27" s="3" t="inlineStr">
        <is>
          <t>Avantine</t>
        </is>
      </c>
      <c r="C27" s="3">
        <f>CONCATENATE("{{flag|",A27,"}}")</f>
        <v/>
      </c>
      <c r="D27" s="3">
        <f>CONCATENATE("[[",B27,"]]")</f>
        <v/>
      </c>
      <c r="E27" s="4" t="n">
        <v>529089</v>
      </c>
      <c r="F27" s="4" t="n">
        <v>15500000</v>
      </c>
      <c r="G27" s="4" t="n">
        <v>5120</v>
      </c>
      <c r="H27" s="5">
        <f>COUNT(E27:G27)</f>
        <v/>
      </c>
      <c r="I27" s="4">
        <f>IF(OR(F27="",G27=""),"",F27*G27)</f>
        <v/>
      </c>
      <c r="J27" s="6">
        <f>IF(OR(E27="",F27=""),"",F27/E27)</f>
        <v/>
      </c>
      <c r="K27" s="3" t="n"/>
      <c r="L27" s="3" t="n"/>
      <c r="M27" s="3" t="inlineStr">
        <is>
          <t>Damak-Var</t>
        </is>
      </c>
      <c r="N27" s="3" t="inlineStr">
        <is>
          <t>Damak Var</t>
        </is>
      </c>
      <c r="O27" s="28" t="inlineStr">
        <is>
          <t>#1a66a9</t>
        </is>
      </c>
      <c r="P27" s="3" t="inlineStr">
        <is>
          <t>yes</t>
        </is>
      </c>
      <c r="Q27" s="4" t="n"/>
      <c r="R27" s="3" t="inlineStr">
        <is>
          <t>capital, population, gdppc, landArea</t>
        </is>
      </c>
      <c r="S27" s="3" t="n"/>
    </row>
    <row r="28">
      <c r="A28" s="3" t="inlineStr">
        <is>
          <t>Deltannia</t>
        </is>
      </c>
      <c r="B28" s="3" t="inlineStr">
        <is>
          <t>Delta</t>
        </is>
      </c>
      <c r="C28" s="3">
        <f>CONCATENATE("{{flag|",A28,"}}")</f>
        <v/>
      </c>
      <c r="D28" s="3">
        <f>CONCATENATE("[[",B28,"]]")</f>
        <v/>
      </c>
      <c r="E28" s="4" t="n">
        <v>241838</v>
      </c>
      <c r="F28" s="4" t="n">
        <v>5220000</v>
      </c>
      <c r="G28" s="4" t="n">
        <v>12500</v>
      </c>
      <c r="H28" s="5">
        <f>COUNT(E28:G28)</f>
        <v/>
      </c>
      <c r="I28" s="4">
        <f>IF(OR(F28="",G28=""),"",F28*G28)</f>
        <v/>
      </c>
      <c r="J28" s="6">
        <f>IF(OR(E28="",F28=""),"",F28/E28)</f>
        <v/>
      </c>
      <c r="K28" s="3" t="n"/>
      <c r="L28" s="3" t="n"/>
      <c r="M28" s="3" t="inlineStr">
        <is>
          <t>Deltannia</t>
        </is>
      </c>
      <c r="N28" s="3" t="inlineStr">
        <is>
          <t>Deltannia</t>
        </is>
      </c>
      <c r="O28" s="29" t="inlineStr">
        <is>
          <t>#216bac</t>
        </is>
      </c>
      <c r="P28" s="3" t="inlineStr">
        <is>
          <t>yes</t>
        </is>
      </c>
      <c r="Q28" s="4" t="n"/>
      <c r="R28" s="3" t="inlineStr">
        <is>
          <t>capital, population, gdppc, landArea</t>
        </is>
      </c>
      <c r="S28" s="3" t="n"/>
    </row>
    <row r="29">
      <c r="A29" s="3" t="inlineStr">
        <is>
          <t>Denawar</t>
        </is>
      </c>
      <c r="B29" s="3" t="inlineStr">
        <is>
          <t>Nanggan</t>
        </is>
      </c>
      <c r="C29" s="3">
        <f>CONCATENATE("{{flag|",A29,"}}")</f>
        <v/>
      </c>
      <c r="D29" s="3">
        <f>CONCATENATE("[[",B29,"]]")</f>
        <v/>
      </c>
      <c r="E29" s="4" t="n">
        <v>171448.23</v>
      </c>
      <c r="F29" s="4" t="n">
        <v>31546774</v>
      </c>
      <c r="G29" s="4" t="n">
        <v>23750</v>
      </c>
      <c r="H29" s="5">
        <f>COUNT(E29:G29)</f>
        <v/>
      </c>
      <c r="I29" s="4">
        <f>IF(OR(F29="",G29=""),"",F29*G29)</f>
        <v/>
      </c>
      <c r="J29" s="6">
        <f>IF(OR(E29="",F29=""),"",F29/E29)</f>
        <v/>
      </c>
      <c r="K29" s="3" t="n"/>
      <c r="L29" s="3" t="n"/>
      <c r="M29" s="3" t="inlineStr">
        <is>
          <t>Denawar</t>
        </is>
      </c>
      <c r="N29" s="3" t="inlineStr">
        <is>
          <t>Denawar</t>
        </is>
      </c>
      <c r="O29" s="30" t="inlineStr">
        <is>
          <t>#05772a</t>
        </is>
      </c>
      <c r="P29" s="3" t="inlineStr">
        <is>
          <t>yes</t>
        </is>
      </c>
      <c r="Q29" s="4" t="n"/>
      <c r="R29" s="3" t="inlineStr">
        <is>
          <t>capital</t>
        </is>
      </c>
      <c r="S29" s="3" t="n"/>
    </row>
    <row r="30">
      <c r="A30" s="3" t="inlineStr">
        <is>
          <t>Dniester</t>
        </is>
      </c>
      <c r="B30" s="3" t="inlineStr">
        <is>
          <t>Minsk</t>
        </is>
      </c>
      <c r="C30" s="3">
        <f>CONCATENATE("{{flag|",A30,"}}")</f>
        <v/>
      </c>
      <c r="D30" s="3">
        <f>CONCATENATE("[[",B30,"]]")</f>
        <v/>
      </c>
      <c r="E30" s="4" t="n">
        <v>207600</v>
      </c>
      <c r="F30" s="4" t="n">
        <v>40203000</v>
      </c>
      <c r="G30" s="4" t="n"/>
      <c r="H30" s="5">
        <f>COUNT(E30:G30)</f>
        <v/>
      </c>
      <c r="I30" s="4">
        <f>IF(OR(F30="",G30=""),"",F30*G30)</f>
        <v/>
      </c>
      <c r="J30" s="6">
        <f>IF(OR(E30="",F30=""),"",F30/E30)</f>
        <v/>
      </c>
      <c r="K30" s="3" t="n"/>
      <c r="L30" s="3" t="n"/>
      <c r="M30" s="3" t="inlineStr">
        <is>
          <t>Dniester</t>
        </is>
      </c>
      <c r="N30" s="3" t="inlineStr">
        <is>
          <t>Dniester</t>
        </is>
      </c>
      <c r="O30" s="3" t="n"/>
      <c r="P30" s="3" t="inlineStr">
        <is>
          <t>no</t>
        </is>
      </c>
      <c r="Q30" s="4" t="n"/>
      <c r="R30" s="3" t="inlineStr">
        <is>
          <t>capital, population, landArea</t>
        </is>
      </c>
      <c r="S30" s="3" t="n"/>
    </row>
    <row r="31">
      <c r="A31" s="3" t="inlineStr">
        <is>
          <t>Dolchland</t>
        </is>
      </c>
      <c r="B31" s="3" t="inlineStr">
        <is>
          <t>Schlammburg</t>
        </is>
      </c>
      <c r="C31" s="3">
        <f>CONCATENATE("{{flag|",A31,"}}")</f>
        <v/>
      </c>
      <c r="D31" s="3">
        <f>CONCATENATE("[[",B31,"]]")</f>
        <v/>
      </c>
      <c r="E31" s="4" t="n">
        <v>328950</v>
      </c>
      <c r="F31" s="4" t="n">
        <v>29283179</v>
      </c>
      <c r="G31" s="4" t="n">
        <v>9903</v>
      </c>
      <c r="H31" s="5">
        <f>COUNT(E31:G31)</f>
        <v/>
      </c>
      <c r="I31" s="4">
        <f>IF(OR(F31="",G31=""),"",F31*G31)</f>
        <v/>
      </c>
      <c r="J31" s="6">
        <f>IF(OR(E31="",F31=""),"",F31/E31)</f>
        <v/>
      </c>
      <c r="K31" s="3" t="n"/>
      <c r="L31" s="3" t="n"/>
      <c r="M31" s="3" t="inlineStr">
        <is>
          <t>Dolchland</t>
        </is>
      </c>
      <c r="N31" s="3" t="inlineStr">
        <is>
          <t>Dolchland</t>
        </is>
      </c>
      <c r="O31" s="7" t="inlineStr">
        <is>
          <t>#000000</t>
        </is>
      </c>
      <c r="P31" s="3" t="inlineStr">
        <is>
          <t>yes</t>
        </is>
      </c>
      <c r="Q31" s="4" t="n"/>
      <c r="R31" s="3" t="inlineStr">
        <is>
          <t>capital, population, gdppc, landArea</t>
        </is>
      </c>
      <c r="S31" s="3" t="n"/>
    </row>
    <row r="32">
      <c r="A32" s="3" t="inlineStr">
        <is>
          <t>Doria</t>
        </is>
      </c>
      <c r="B32" s="3" t="inlineStr">
        <is>
          <t>Byalgrad</t>
        </is>
      </c>
      <c r="C32" s="3">
        <f>CONCATENATE("{{flag|",A32,"}}")</f>
        <v/>
      </c>
      <c r="D32" s="3">
        <f>CONCATENATE("[[",B32,"]]")</f>
        <v/>
      </c>
      <c r="E32" s="4" t="n"/>
      <c r="F32" s="4" t="n"/>
      <c r="G32" s="4" t="n"/>
      <c r="H32" s="5">
        <f>COUNT(E32:G32)</f>
        <v/>
      </c>
      <c r="I32" s="4">
        <f>IF(OR(F32="",G32=""),"",F32*G32)</f>
        <v/>
      </c>
      <c r="J32" s="6">
        <f>IF(OR(E32="",F32=""),"",F32/E32)</f>
        <v/>
      </c>
      <c r="K32" s="3" t="n"/>
      <c r="L32" s="3" t="n"/>
      <c r="M32" s="3" t="inlineStr">
        <is>
          <t>Doria</t>
        </is>
      </c>
      <c r="N32" s="3" t="inlineStr">
        <is>
          <t>Doria</t>
        </is>
      </c>
      <c r="O32" s="31" t="inlineStr">
        <is>
          <t>#3b741f</t>
        </is>
      </c>
      <c r="P32" s="3" t="inlineStr">
        <is>
          <t>yes</t>
        </is>
      </c>
      <c r="Q32" s="4" t="n"/>
      <c r="R32" s="3" t="n"/>
      <c r="S32" s="3" t="n"/>
    </row>
    <row r="33">
      <c r="A33" s="3" t="inlineStr">
        <is>
          <t>Duchy of Verde</t>
        </is>
      </c>
      <c r="B33" s="3" t="inlineStr">
        <is>
          <t>Porto Verde</t>
        </is>
      </c>
      <c r="C33" s="3">
        <f>CONCATENATE("{{flag|",A33,"}}")</f>
        <v/>
      </c>
      <c r="D33" s="3">
        <f>CONCATENATE("[[",B33,"]]")</f>
        <v/>
      </c>
      <c r="E33" s="4" t="n">
        <v>23262</v>
      </c>
      <c r="F33" s="4" t="n">
        <v>10009200</v>
      </c>
      <c r="G33" s="4" t="n">
        <v>47956</v>
      </c>
      <c r="H33" s="5">
        <f>COUNT(E33:G33)</f>
        <v/>
      </c>
      <c r="I33" s="4">
        <f>IF(OR(F33="",G33=""),"",F33*G33)</f>
        <v/>
      </c>
      <c r="J33" s="6">
        <f>IF(OR(E33="",F33=""),"",F33/E33)</f>
        <v/>
      </c>
      <c r="K33" s="3" t="n"/>
      <c r="L33" s="3" t="n"/>
      <c r="M33" s="3" t="inlineStr">
        <is>
          <t>Duchy-of-Verde</t>
        </is>
      </c>
      <c r="N33" s="3" t="inlineStr">
        <is>
          <t>Duchy of Verde</t>
        </is>
      </c>
      <c r="O33" s="32" t="inlineStr">
        <is>
          <t>#217919</t>
        </is>
      </c>
      <c r="P33" s="3" t="inlineStr">
        <is>
          <t>yes</t>
        </is>
      </c>
      <c r="Q33" s="4" t="n"/>
      <c r="R33" s="3" t="inlineStr">
        <is>
          <t>capital, population, gdppc, landArea</t>
        </is>
      </c>
      <c r="S33" s="3" t="n"/>
    </row>
    <row r="34">
      <c r="A34" s="3" t="inlineStr">
        <is>
          <t>Ealis</t>
        </is>
      </c>
      <c r="B34" s="3" t="inlineStr">
        <is>
          <t>Lysina</t>
        </is>
      </c>
      <c r="C34" s="3">
        <f>CONCATENATE("{{flag|",A34,"}}")</f>
        <v/>
      </c>
      <c r="D34" s="3">
        <f>CONCATENATE("[[",B34,"]]")</f>
        <v/>
      </c>
      <c r="E34" s="4" t="n">
        <v>285661</v>
      </c>
      <c r="F34" s="4" t="n">
        <v>21085626</v>
      </c>
      <c r="G34" s="4" t="n">
        <v>34000</v>
      </c>
      <c r="H34" s="5">
        <f>COUNT(E34:G34)</f>
        <v/>
      </c>
      <c r="I34" s="4">
        <f>IF(OR(F34="",G34=""),"",F34*G34)</f>
        <v/>
      </c>
      <c r="J34" s="6">
        <f>IF(OR(E34="",F34=""),"",F34/E34)</f>
        <v/>
      </c>
      <c r="K34" s="3" t="n"/>
      <c r="L34" s="3" t="n"/>
      <c r="M34" s="3" t="inlineStr">
        <is>
          <t>Ealis</t>
        </is>
      </c>
      <c r="N34" s="3" t="inlineStr">
        <is>
          <t>Ealis</t>
        </is>
      </c>
      <c r="O34" s="33" t="inlineStr">
        <is>
          <t>#892d2d</t>
        </is>
      </c>
      <c r="P34" s="3" t="inlineStr">
        <is>
          <t>yes</t>
        </is>
      </c>
      <c r="Q34" s="4" t="n"/>
      <c r="R34" s="3" t="inlineStr">
        <is>
          <t>capital, population, gdppc, landArea</t>
        </is>
      </c>
      <c r="S34" s="3" t="n"/>
    </row>
    <row r="35">
      <c r="A35" s="3" t="inlineStr">
        <is>
          <t>Eemsmerschen</t>
        </is>
      </c>
      <c r="B35" s="3" t="inlineStr">
        <is>
          <t>Rendsborg</t>
        </is>
      </c>
      <c r="C35" s="3">
        <f>CONCATENATE("{{flag|",A35,"}}")</f>
        <v/>
      </c>
      <c r="D35" s="3">
        <f>CONCATENATE("[[",B35,"]]")</f>
        <v/>
      </c>
      <c r="E35" s="4" t="n">
        <v>670000</v>
      </c>
      <c r="F35" s="4" t="n">
        <v>37998000</v>
      </c>
      <c r="G35" s="4" t="n">
        <v>17800</v>
      </c>
      <c r="H35" s="5">
        <f>COUNT(E35:G35)</f>
        <v/>
      </c>
      <c r="I35" s="4">
        <f>IF(OR(F35="",G35=""),"",F35*G35)</f>
        <v/>
      </c>
      <c r="J35" s="6">
        <f>IF(OR(E35="",F35=""),"",F35/E35)</f>
        <v/>
      </c>
      <c r="K35" s="3" t="n"/>
      <c r="L35" s="3" t="n"/>
      <c r="M35" s="3" t="inlineStr">
        <is>
          <t>Eemsmerschen</t>
        </is>
      </c>
      <c r="N35" s="3" t="inlineStr">
        <is>
          <t>Dolch Free State</t>
        </is>
      </c>
      <c r="O35" s="34" t="inlineStr">
        <is>
          <t>#822436</t>
        </is>
      </c>
      <c r="P35" s="3" t="inlineStr">
        <is>
          <t>yes</t>
        </is>
      </c>
      <c r="Q35" s="4" t="n"/>
      <c r="R35" s="3" t="n"/>
      <c r="S35" s="3" t="n"/>
    </row>
    <row r="36">
      <c r="A36" s="3" t="inlineStr">
        <is>
          <t>Eidolmanta</t>
        </is>
      </c>
      <c r="B36" s="3" t="inlineStr">
        <is>
          <t>Taraxippus</t>
        </is>
      </c>
      <c r="C36" s="3">
        <f>CONCATENATE("{{flag|",A36,"}}")</f>
        <v/>
      </c>
      <c r="D36" s="3">
        <f>CONCATENATE("[[",B36,"]]")</f>
        <v/>
      </c>
      <c r="E36" s="4" t="n">
        <v>279687</v>
      </c>
      <c r="F36" s="4" t="n">
        <v>35382902</v>
      </c>
      <c r="G36" s="4" t="n">
        <v>10409</v>
      </c>
      <c r="H36" s="5">
        <f>COUNT(E36:G36)</f>
        <v/>
      </c>
      <c r="I36" s="4">
        <f>IF(OR(F36="",G36=""),"",F36*G36)</f>
        <v/>
      </c>
      <c r="J36" s="6">
        <f>IF(OR(E36="",F36=""),"",F36/E36)</f>
        <v/>
      </c>
      <c r="K36" s="3" t="n"/>
      <c r="L36" s="3" t="n"/>
      <c r="M36" s="3" t="inlineStr">
        <is>
          <t>Eidolmanta</t>
        </is>
      </c>
      <c r="N36" s="3" t="inlineStr">
        <is>
          <t>Eidolmanta</t>
        </is>
      </c>
      <c r="O36" s="7" t="inlineStr">
        <is>
          <t>#000000</t>
        </is>
      </c>
      <c r="P36" s="3" t="inlineStr">
        <is>
          <t>yes</t>
        </is>
      </c>
      <c r="Q36" s="4" t="n"/>
      <c r="R36" s="3" t="inlineStr">
        <is>
          <t>capital, population, gdppc, landArea</t>
        </is>
      </c>
      <c r="S36" s="3" t="n"/>
    </row>
    <row r="37">
      <c r="A37" s="3" t="inlineStr">
        <is>
          <t>Elbenau</t>
        </is>
      </c>
      <c r="B37" s="3" t="inlineStr">
        <is>
          <t>Grestin</t>
        </is>
      </c>
      <c r="C37" s="3">
        <f>CONCATENATE("{{flag|",A37,"}}")</f>
        <v/>
      </c>
      <c r="D37" s="3">
        <f>CONCATENATE("[[",B37,"]]")</f>
        <v/>
      </c>
      <c r="E37" s="4" t="n"/>
      <c r="F37" s="4" t="n"/>
      <c r="G37" s="4" t="n"/>
      <c r="H37" s="5">
        <f>COUNT(E37:G37)</f>
        <v/>
      </c>
      <c r="I37" s="4">
        <f>IF(OR(F37="",G37=""),"",F37*G37)</f>
        <v/>
      </c>
      <c r="J37" s="6">
        <f>IF(OR(E37="",F37=""),"",F37/E37)</f>
        <v/>
      </c>
      <c r="K37" s="3" t="n"/>
      <c r="L37" s="3" t="n"/>
      <c r="M37" s="3" t="inlineStr">
        <is>
          <t>Elbenau</t>
        </is>
      </c>
      <c r="N37" s="3" t="inlineStr">
        <is>
          <t>Elbenauer Republic</t>
        </is>
      </c>
      <c r="O37" s="35" t="inlineStr">
        <is>
          <t>#0c7123</t>
        </is>
      </c>
      <c r="P37" s="3" t="inlineStr">
        <is>
          <t>yes</t>
        </is>
      </c>
      <c r="Q37" s="4" t="n"/>
      <c r="R37" s="3" t="n"/>
      <c r="S37" s="3" t="n"/>
    </row>
    <row r="38">
      <c r="A38" s="3" t="inlineStr">
        <is>
          <t>Erisoria</t>
        </is>
      </c>
      <c r="B38" s="3" t="inlineStr">
        <is>
          <t>Kaleendamen</t>
        </is>
      </c>
      <c r="C38" s="3">
        <f>CONCATENATE("{{flag|",A38,"}}")</f>
        <v/>
      </c>
      <c r="D38" s="3">
        <f>CONCATENATE("[[",B38,"]]")</f>
        <v/>
      </c>
      <c r="E38" s="4" t="n">
        <v>488900</v>
      </c>
      <c r="F38" s="4" t="n">
        <v>34348293</v>
      </c>
      <c r="G38" s="4" t="n">
        <v>29500</v>
      </c>
      <c r="H38" s="5">
        <f>COUNT(E38:G38)</f>
        <v/>
      </c>
      <c r="I38" s="4">
        <f>IF(OR(F38="",G38=""),"",F38*G38)</f>
        <v/>
      </c>
      <c r="J38" s="6">
        <f>IF(OR(E38="",F38=""),"",F38/E38)</f>
        <v/>
      </c>
      <c r="K38" s="3" t="n"/>
      <c r="L38" s="3" t="n"/>
      <c r="M38" s="3" t="inlineStr">
        <is>
          <t>Erisoria</t>
        </is>
      </c>
      <c r="N38" s="3" t="inlineStr">
        <is>
          <t>Erisoria</t>
        </is>
      </c>
      <c r="O38" s="36" t="inlineStr">
        <is>
          <t>#f48314</t>
        </is>
      </c>
      <c r="P38" s="3" t="inlineStr">
        <is>
          <t>yes</t>
        </is>
      </c>
      <c r="Q38" s="4" t="n"/>
      <c r="R38" s="3" t="inlineStr">
        <is>
          <t>capital</t>
        </is>
      </c>
      <c r="S38" s="3" t="n"/>
    </row>
    <row r="39">
      <c r="A39" s="3" t="inlineStr">
        <is>
          <t>Esonice</t>
        </is>
      </c>
      <c r="B39" s="3" t="inlineStr">
        <is>
          <t>Maimedo</t>
        </is>
      </c>
      <c r="C39" s="3">
        <f>CONCATENATE("{{flag|",A39,"}}")</f>
        <v/>
      </c>
      <c r="D39" s="3">
        <f>CONCATENATE("[[",B39,"]]")</f>
        <v/>
      </c>
      <c r="E39" s="4" t="n">
        <v>442875</v>
      </c>
      <c r="F39" s="4" t="n">
        <v>72145832</v>
      </c>
      <c r="G39" s="4" t="n">
        <v>38312</v>
      </c>
      <c r="H39" s="5">
        <f>COUNT(E39:G39)</f>
        <v/>
      </c>
      <c r="I39" s="4">
        <f>IF(OR(F39="",G39=""),"",F39*G39)</f>
        <v/>
      </c>
      <c r="J39" s="6">
        <f>IF(OR(E39="",F39=""),"",F39/E39)</f>
        <v/>
      </c>
      <c r="K39" s="3" t="n"/>
      <c r="L39" s="3" t="n"/>
      <c r="M39" s="3" t="inlineStr">
        <is>
          <t>Esonice</t>
        </is>
      </c>
      <c r="N39" s="3" t="inlineStr">
        <is>
          <t>Esonice</t>
        </is>
      </c>
      <c r="O39" s="37" t="inlineStr">
        <is>
          <t>#9f2bf2</t>
        </is>
      </c>
      <c r="P39" s="3" t="inlineStr">
        <is>
          <t>yes</t>
        </is>
      </c>
      <c r="Q39" s="4" t="n"/>
      <c r="R39" s="3" t="inlineStr">
        <is>
          <t>capital</t>
        </is>
      </c>
      <c r="S39" s="3" t="n"/>
    </row>
    <row r="40">
      <c r="A40" s="3" t="inlineStr">
        <is>
          <t>Euandria</t>
        </is>
      </c>
      <c r="B40" s="3" t="inlineStr">
        <is>
          <t>Charpesiciun</t>
        </is>
      </c>
      <c r="C40" s="3">
        <f>CONCATENATE("{{flag|",A40,"}}")</f>
        <v/>
      </c>
      <c r="D40" s="3">
        <f>CONCATENATE("[[",B40,"]]")</f>
        <v/>
      </c>
      <c r="E40" s="4" t="n">
        <v>125665</v>
      </c>
      <c r="F40" s="4" t="n">
        <v>23389041</v>
      </c>
      <c r="G40" s="4" t="n">
        <v>9335</v>
      </c>
      <c r="H40" s="5">
        <f>COUNT(E40:G40)</f>
        <v/>
      </c>
      <c r="I40" s="4">
        <f>IF(OR(F40="",G40=""),"",F40*G40)</f>
        <v/>
      </c>
      <c r="J40" s="6">
        <f>IF(OR(E40="",F40=""),"",F40/E40)</f>
        <v/>
      </c>
      <c r="K40" s="3" t="n"/>
      <c r="L40" s="3" t="n"/>
      <c r="M40" s="3" t="inlineStr">
        <is>
          <t>Euandria</t>
        </is>
      </c>
      <c r="N40" s="3" t="inlineStr">
        <is>
          <t>Euandria</t>
        </is>
      </c>
      <c r="O40" s="3" t="n"/>
      <c r="P40" s="3" t="inlineStr">
        <is>
          <t>no</t>
        </is>
      </c>
      <c r="Q40" s="4" t="n"/>
      <c r="R40" s="3" t="inlineStr">
        <is>
          <t>capital, population, gdppc, landArea</t>
        </is>
      </c>
      <c r="S40" s="3" t="n"/>
    </row>
    <row r="41">
      <c r="A41" s="3" t="inlineStr">
        <is>
          <t>Flaca Vul</t>
        </is>
      </c>
      <c r="B41" s="3" t="inlineStr">
        <is>
          <t>Cavult Metropolis</t>
        </is>
      </c>
      <c r="C41" s="3">
        <f>CONCATENATE("{{flag|",A41,"}}")</f>
        <v/>
      </c>
      <c r="D41" s="3">
        <f>CONCATENATE("[[",B41,"]]")</f>
        <v/>
      </c>
      <c r="E41" s="4" t="n">
        <v>281239</v>
      </c>
      <c r="F41" s="4" t="n">
        <v>49836821</v>
      </c>
      <c r="G41" s="4" t="n">
        <v>29653</v>
      </c>
      <c r="H41" s="5">
        <f>COUNT(E41:G41)</f>
        <v/>
      </c>
      <c r="I41" s="4">
        <f>IF(OR(F41="",G41=""),"",F41*G41)</f>
        <v/>
      </c>
      <c r="J41" s="6">
        <f>IF(OR(E41="",F41=""),"",F41/E41)</f>
        <v/>
      </c>
      <c r="K41" s="3" t="n"/>
      <c r="L41" s="3" t="n"/>
      <c r="M41" s="3" t="inlineStr">
        <is>
          <t>Flaca-Vul</t>
        </is>
      </c>
      <c r="N41" s="3" t="inlineStr">
        <is>
          <t>Most Serene Republic of Flaca Vul</t>
        </is>
      </c>
      <c r="O41" s="38" t="inlineStr">
        <is>
          <t>#0d406d</t>
        </is>
      </c>
      <c r="P41" s="3" t="inlineStr">
        <is>
          <t>yes</t>
        </is>
      </c>
      <c r="Q41" s="4" t="n"/>
      <c r="R41" s="3" t="n"/>
      <c r="S41" s="3" t="n"/>
    </row>
    <row r="42">
      <c r="A42" s="3" t="inlineStr">
        <is>
          <t>Florentia</t>
        </is>
      </c>
      <c r="B42" s="3" t="inlineStr">
        <is>
          <t>Montcharmin</t>
        </is>
      </c>
      <c r="C42" s="3">
        <f>CONCATENATE("{{flag|",A42,"}}")</f>
        <v/>
      </c>
      <c r="D42" s="3">
        <f>CONCATENATE("[[",B42,"]]")</f>
        <v/>
      </c>
      <c r="E42" s="4" t="n">
        <v>325000</v>
      </c>
      <c r="F42" s="4" t="n">
        <v>26223000</v>
      </c>
      <c r="G42" s="4" t="n">
        <v>10666</v>
      </c>
      <c r="H42" s="5">
        <f>COUNT(E42:G42)</f>
        <v/>
      </c>
      <c r="I42" s="4">
        <f>IF(OR(F42="",G42=""),"",F42*G42)</f>
        <v/>
      </c>
      <c r="J42" s="6">
        <f>IF(OR(E42="",F42=""),"",F42/E42)</f>
        <v/>
      </c>
      <c r="K42" s="3" t="n"/>
      <c r="L42" s="3" t="n"/>
      <c r="M42" s="3" t="inlineStr">
        <is>
          <t>Florentia</t>
        </is>
      </c>
      <c r="N42" s="3" t="inlineStr">
        <is>
          <t>Florentia</t>
        </is>
      </c>
      <c r="O42" s="39" t="inlineStr">
        <is>
          <t>#540203</t>
        </is>
      </c>
      <c r="P42" s="3" t="inlineStr">
        <is>
          <t>yes</t>
        </is>
      </c>
      <c r="Q42" s="4" t="n"/>
      <c r="R42" s="3" t="inlineStr">
        <is>
          <t>capital, population, gdppc, landArea</t>
        </is>
      </c>
      <c r="S42" s="3" t="n"/>
    </row>
    <row r="43">
      <c r="A43" s="3" t="inlineStr">
        <is>
          <t>Gaellicia</t>
        </is>
      </c>
      <c r="B43" s="3" t="inlineStr">
        <is>
          <t>Penzance</t>
        </is>
      </c>
      <c r="C43" s="3">
        <f>CONCATENATE("{{flag|",A43,"}}")</f>
        <v/>
      </c>
      <c r="D43" s="3">
        <f>CONCATENATE("[[",B43,"]]")</f>
        <v/>
      </c>
      <c r="E43" s="4" t="n">
        <v>269300</v>
      </c>
      <c r="F43" s="4" t="n">
        <v>28542321</v>
      </c>
      <c r="G43" s="4" t="n">
        <v>10000</v>
      </c>
      <c r="H43" s="5">
        <f>COUNT(E43:G43)</f>
        <v/>
      </c>
      <c r="I43" s="4">
        <f>IF(OR(F43="",G43=""),"",F43*G43)</f>
        <v/>
      </c>
      <c r="J43" s="6">
        <f>IF(OR(E43="",F43=""),"",F43/E43)</f>
        <v/>
      </c>
      <c r="K43" s="3" t="n"/>
      <c r="L43" s="3" t="n"/>
      <c r="M43" s="3" t="inlineStr">
        <is>
          <t>Gaellicia</t>
        </is>
      </c>
      <c r="N43" s="3" t="inlineStr">
        <is>
          <t>Gaellicia</t>
        </is>
      </c>
      <c r="O43" s="40" t="inlineStr">
        <is>
          <t>#029a63</t>
        </is>
      </c>
      <c r="P43" s="3" t="inlineStr">
        <is>
          <t>yes</t>
        </is>
      </c>
      <c r="Q43" s="4" t="n"/>
      <c r="R43" s="3" t="inlineStr">
        <is>
          <t>capital, population, gdppc, landArea</t>
        </is>
      </c>
      <c r="S43" s="3" t="n"/>
    </row>
    <row r="44">
      <c r="A44" s="3" t="inlineStr">
        <is>
          <t>Galahinda</t>
        </is>
      </c>
      <c r="B44" s="3" t="inlineStr">
        <is>
          <t>Cascadia</t>
        </is>
      </c>
      <c r="C44" s="3">
        <f>CONCATENATE("{{flag|",A44,"}}")</f>
        <v/>
      </c>
      <c r="D44" s="3">
        <f>CONCATENATE("[[",B44,"]]")</f>
        <v/>
      </c>
      <c r="E44" s="4" t="n">
        <v>17338</v>
      </c>
      <c r="F44" s="4" t="n">
        <v>9517000</v>
      </c>
      <c r="G44" s="4" t="n"/>
      <c r="H44" s="5">
        <f>COUNT(E44:G44)</f>
        <v/>
      </c>
      <c r="I44" s="4">
        <f>IF(OR(F44="",G44=""),"",F44*G44)</f>
        <v/>
      </c>
      <c r="J44" s="6">
        <f>IF(OR(E44="",F44=""),"",F44/E44)</f>
        <v/>
      </c>
      <c r="K44" s="3" t="n"/>
      <c r="L44" s="3" t="n"/>
      <c r="M44" s="3" t="inlineStr">
        <is>
          <t>Galahinda</t>
        </is>
      </c>
      <c r="N44" s="3" t="inlineStr">
        <is>
          <t>Galahinda</t>
        </is>
      </c>
      <c r="O44" s="41" t="inlineStr">
        <is>
          <t>#abcae9</t>
        </is>
      </c>
      <c r="P44" s="3" t="inlineStr">
        <is>
          <t>yes</t>
        </is>
      </c>
      <c r="Q44" s="4" t="n"/>
      <c r="R44" s="3" t="inlineStr">
        <is>
          <t>capital, population, landArea</t>
        </is>
      </c>
      <c r="S44" s="3" t="n"/>
    </row>
    <row r="45">
      <c r="A45" s="3" t="inlineStr">
        <is>
          <t>Galicia</t>
        </is>
      </c>
      <c r="B45" s="3" t="inlineStr">
        <is>
          <t>Porto D'Galo</t>
        </is>
      </c>
      <c r="C45" s="3">
        <f>CONCATENATE("{{flag|",A45,"}}")</f>
        <v/>
      </c>
      <c r="D45" s="3">
        <f>CONCATENATE("[[",B45,"]]")</f>
        <v/>
      </c>
      <c r="E45" s="4" t="n">
        <v>75764</v>
      </c>
      <c r="F45" s="4" t="n">
        <v>18344760</v>
      </c>
      <c r="G45" s="4" t="n">
        <v>33797</v>
      </c>
      <c r="H45" s="5">
        <f>COUNT(E45:G45)</f>
        <v/>
      </c>
      <c r="I45" s="4">
        <f>IF(OR(F45="",G45=""),"",F45*G45)</f>
        <v/>
      </c>
      <c r="J45" s="6">
        <f>IF(OR(E45="",F45=""),"",F45/E45)</f>
        <v/>
      </c>
      <c r="K45" s="3" t="n"/>
      <c r="L45" s="3" t="n"/>
      <c r="M45" s="3" t="inlineStr">
        <is>
          <t>Galicia</t>
        </is>
      </c>
      <c r="N45" s="3" t="inlineStr">
        <is>
          <t>Galicia</t>
        </is>
      </c>
      <c r="O45" s="42" t="inlineStr">
        <is>
          <t>#002e5e</t>
        </is>
      </c>
      <c r="P45" s="3" t="inlineStr">
        <is>
          <t>yes</t>
        </is>
      </c>
      <c r="Q45" s="4" t="n"/>
      <c r="R45" s="3" t="inlineStr">
        <is>
          <t>capital, population, gdppc, landArea</t>
        </is>
      </c>
      <c r="S45" s="3" t="n"/>
    </row>
    <row r="46">
      <c r="A46" s="3" t="inlineStr">
        <is>
          <t>Gallambria</t>
        </is>
      </c>
      <c r="B46" s="3" t="inlineStr">
        <is>
          <t>Bromwich</t>
        </is>
      </c>
      <c r="C46" s="3">
        <f>CONCATENATE("{{flag|",A46,"}}")</f>
        <v/>
      </c>
      <c r="D46" s="3">
        <f>CONCATENATE("[[",B46,"]]")</f>
        <v/>
      </c>
      <c r="E46" s="4" t="n">
        <v>506052</v>
      </c>
      <c r="F46" s="4" t="n">
        <v>57990240</v>
      </c>
      <c r="G46" s="4" t="n">
        <v>49927</v>
      </c>
      <c r="H46" s="5">
        <f>COUNT(E46:G46)</f>
        <v/>
      </c>
      <c r="I46" s="4">
        <f>IF(OR(F46="",G46=""),"",F46*G46)</f>
        <v/>
      </c>
      <c r="J46" s="6">
        <f>IF(OR(E46="",F46=""),"",F46/E46)</f>
        <v/>
      </c>
      <c r="K46" s="3" t="n"/>
      <c r="L46" s="3" t="n"/>
      <c r="M46" s="3" t="inlineStr">
        <is>
          <t>Gallambria</t>
        </is>
      </c>
      <c r="N46" s="3" t="inlineStr">
        <is>
          <t>Gallambria</t>
        </is>
      </c>
      <c r="O46" s="43" t="inlineStr">
        <is>
          <t>#1d2e4d</t>
        </is>
      </c>
      <c r="P46" s="3" t="inlineStr">
        <is>
          <t>yes</t>
        </is>
      </c>
      <c r="Q46" s="4" t="n"/>
      <c r="R46" s="3" t="inlineStr">
        <is>
          <t>capital, population, gdppc, landArea</t>
        </is>
      </c>
      <c r="S46" s="3" t="n"/>
    </row>
    <row r="47">
      <c r="A47" s="3" t="inlineStr">
        <is>
          <t>Garindina</t>
        </is>
      </c>
      <c r="B47" s="3" t="inlineStr">
        <is>
          <t>Parsa</t>
        </is>
      </c>
      <c r="C47" s="3">
        <f>CONCATENATE("{{flag|",A47,"}}")</f>
        <v/>
      </c>
      <c r="D47" s="3">
        <f>CONCATENATE("[[",B47,"]]")</f>
        <v/>
      </c>
      <c r="E47" s="4" t="n">
        <v>366296</v>
      </c>
      <c r="F47" s="4" t="n">
        <v>23247742</v>
      </c>
      <c r="G47" s="4" t="n">
        <v>36550</v>
      </c>
      <c r="H47" s="5">
        <f>COUNT(E47:G47)</f>
        <v/>
      </c>
      <c r="I47" s="4">
        <f>IF(OR(F47="",G47=""),"",F47*G47)</f>
        <v/>
      </c>
      <c r="J47" s="6">
        <f>IF(OR(E47="",F47=""),"",F47/E47)</f>
        <v/>
      </c>
      <c r="K47" s="3" t="n"/>
      <c r="L47" s="3" t="n"/>
      <c r="M47" s="3" t="inlineStr">
        <is>
          <t>Garindina</t>
        </is>
      </c>
      <c r="N47" s="3" t="inlineStr">
        <is>
          <t>Garindina</t>
        </is>
      </c>
      <c r="O47" s="44" t="inlineStr">
        <is>
          <t>#7d0c0d</t>
        </is>
      </c>
      <c r="P47" s="3" t="inlineStr">
        <is>
          <t>yes</t>
        </is>
      </c>
      <c r="Q47" s="4" t="n"/>
      <c r="R47" s="3" t="inlineStr">
        <is>
          <t>capital</t>
        </is>
      </c>
      <c r="S47" s="3" t="n"/>
    </row>
    <row r="48">
      <c r="A48" s="3" t="inlineStr">
        <is>
          <t>Giokto</t>
        </is>
      </c>
      <c r="B48" s="3" t="inlineStr">
        <is>
          <t>Saipuo</t>
        </is>
      </c>
      <c r="C48" s="3">
        <f>CONCATENATE("{{flag|",A48,"}}")</f>
        <v/>
      </c>
      <c r="D48" s="3">
        <f>CONCATENATE("[[",B48,"]]")</f>
        <v/>
      </c>
      <c r="E48" s="4" t="n">
        <v>31514</v>
      </c>
      <c r="F48" s="4" t="n">
        <v>10278427</v>
      </c>
      <c r="G48" s="4" t="n">
        <v>30600</v>
      </c>
      <c r="H48" s="5">
        <f>COUNT(E48:G48)</f>
        <v/>
      </c>
      <c r="I48" s="4">
        <f>IF(OR(F48="",G48=""),"",F48*G48)</f>
        <v/>
      </c>
      <c r="J48" s="6">
        <f>IF(OR(E48="",F48=""),"",F48/E48)</f>
        <v/>
      </c>
      <c r="K48" s="3" t="n"/>
      <c r="L48" s="3" t="n"/>
      <c r="M48" s="3" t="inlineStr">
        <is>
          <t>Giokto</t>
        </is>
      </c>
      <c r="N48" s="3" t="inlineStr">
        <is>
          <t>Giokto</t>
        </is>
      </c>
      <c r="O48" s="45" t="inlineStr">
        <is>
          <t>#00752b</t>
        </is>
      </c>
      <c r="P48" s="3" t="inlineStr">
        <is>
          <t>yes</t>
        </is>
      </c>
      <c r="Q48" s="4" t="n"/>
      <c r="R48" s="3" t="inlineStr">
        <is>
          <t>capital, population, gdppc, landArea</t>
        </is>
      </c>
      <c r="S48" s="3" t="n"/>
    </row>
    <row r="49">
      <c r="A49" s="3" t="inlineStr">
        <is>
          <t>Girkmand</t>
        </is>
      </c>
      <c r="B49" s="3" t="inlineStr">
        <is>
          <t>Girk</t>
        </is>
      </c>
      <c r="C49" s="3">
        <f>CONCATENATE("{{flag|",A49,"}}")</f>
        <v/>
      </c>
      <c r="D49" s="3">
        <f>CONCATENATE("[[",B49,"]]")</f>
        <v/>
      </c>
      <c r="E49" s="4" t="n">
        <v>72444</v>
      </c>
      <c r="F49" s="4" t="n">
        <v>6200000</v>
      </c>
      <c r="G49" s="4" t="n">
        <v>41936</v>
      </c>
      <c r="H49" s="5">
        <f>COUNT(E49:G49)</f>
        <v/>
      </c>
      <c r="I49" s="4">
        <f>IF(OR(F49="",G49=""),"",F49*G49)</f>
        <v/>
      </c>
      <c r="J49" s="6">
        <f>IF(OR(E49="",F49=""),"",F49/E49)</f>
        <v/>
      </c>
      <c r="K49" s="3" t="n"/>
      <c r="L49" s="3" t="n"/>
      <c r="M49" s="3" t="inlineStr">
        <is>
          <t>Girkmand</t>
        </is>
      </c>
      <c r="N49" s="3" t="inlineStr">
        <is>
          <t>Girkmand</t>
        </is>
      </c>
      <c r="O49" s="46" t="inlineStr">
        <is>
          <t>#bdc0c9</t>
        </is>
      </c>
      <c r="P49" s="3" t="inlineStr">
        <is>
          <t>yes</t>
        </is>
      </c>
      <c r="Q49" s="4" t="n"/>
      <c r="R49" s="3" t="inlineStr">
        <is>
          <t>capital, population, gdppc, landArea</t>
        </is>
      </c>
      <c r="S49" s="3" t="n"/>
    </row>
    <row r="50">
      <c r="A50" s="3" t="inlineStr">
        <is>
          <t>Goankok</t>
        </is>
      </c>
      <c r="B50" s="3" t="inlineStr">
        <is>
          <t>Sisimto</t>
        </is>
      </c>
      <c r="C50" s="3">
        <f>CONCATENATE("{{flag|",A50,"}}")</f>
        <v/>
      </c>
      <c r="D50" s="3">
        <f>CONCATENATE("[[",B50,"]]")</f>
        <v/>
      </c>
      <c r="E50" s="4" t="n">
        <v>33586</v>
      </c>
      <c r="F50" s="4" t="n">
        <v>13646233</v>
      </c>
      <c r="G50" s="4" t="n">
        <v>16452</v>
      </c>
      <c r="H50" s="5">
        <f>COUNT(E50:G50)</f>
        <v/>
      </c>
      <c r="I50" s="4">
        <f>IF(OR(F50="",G50=""),"",F50*G50)</f>
        <v/>
      </c>
      <c r="J50" s="6">
        <f>IF(OR(E50="",F50=""),"",F50/E50)</f>
        <v/>
      </c>
      <c r="K50" s="3" t="n"/>
      <c r="L50" s="3" t="n"/>
      <c r="M50" s="3" t="inlineStr">
        <is>
          <t>Goankok</t>
        </is>
      </c>
      <c r="N50" s="3" t="inlineStr">
        <is>
          <t>Goankok</t>
        </is>
      </c>
      <c r="O50" s="47" t="inlineStr">
        <is>
          <t>#00788c</t>
        </is>
      </c>
      <c r="P50" s="3" t="inlineStr">
        <is>
          <t>yes</t>
        </is>
      </c>
      <c r="Q50" s="4" t="n"/>
      <c r="R50" s="3" t="inlineStr">
        <is>
          <t>capital, population, landArea</t>
        </is>
      </c>
      <c r="S50" s="3" t="inlineStr">
        <is>
          <t>yes</t>
        </is>
      </c>
    </row>
    <row r="51">
      <c r="A51" s="3" t="inlineStr">
        <is>
          <t>Great Anglia</t>
        </is>
      </c>
      <c r="B51" s="3" t="inlineStr">
        <is>
          <t>Godstone</t>
        </is>
      </c>
      <c r="C51" s="3">
        <f>CONCATENATE("{{flag|",A51,"}}")</f>
        <v/>
      </c>
      <c r="D51" s="3">
        <f>CONCATENATE("[[",B51,"]]")</f>
        <v/>
      </c>
      <c r="E51" s="4" t="n">
        <v>242495</v>
      </c>
      <c r="F51" s="4" t="n">
        <v>109734597</v>
      </c>
      <c r="G51" s="4" t="n">
        <v>38580</v>
      </c>
      <c r="H51" s="5">
        <f>COUNT(E51:G51)</f>
        <v/>
      </c>
      <c r="I51" s="4">
        <f>IF(OR(F51="",G51=""),"",F51*G51)</f>
        <v/>
      </c>
      <c r="J51" s="6">
        <f>IF(OR(E51="",F51=""),"",F51/E51)</f>
        <v/>
      </c>
      <c r="K51" s="3" t="n"/>
      <c r="L51" s="3" t="n"/>
      <c r="M51" s="3" t="inlineStr">
        <is>
          <t>Great-Anglia</t>
        </is>
      </c>
      <c r="N51" s="3" t="inlineStr">
        <is>
          <t>Great Anglia</t>
        </is>
      </c>
      <c r="O51" s="48" t="inlineStr">
        <is>
          <t>#f4ca52</t>
        </is>
      </c>
      <c r="P51" s="3" t="inlineStr">
        <is>
          <t>yes</t>
        </is>
      </c>
      <c r="Q51" s="4" t="n"/>
      <c r="R51" s="3" t="inlineStr">
        <is>
          <t>capital, population, gdppc, landArea</t>
        </is>
      </c>
      <c r="S51" s="3" t="n"/>
    </row>
    <row r="52">
      <c r="A52" s="3" t="inlineStr">
        <is>
          <t>Great Mèdia</t>
        </is>
      </c>
      <c r="B52" s="3" t="inlineStr">
        <is>
          <t>Mèdopolis</t>
        </is>
      </c>
      <c r="C52" s="3">
        <f>CONCATENATE("{{flag|",A52,"}}")</f>
        <v/>
      </c>
      <c r="D52" s="3">
        <f>CONCATENATE("[[",B52,"]]")</f>
        <v/>
      </c>
      <c r="E52" s="4" t="n">
        <v>399550</v>
      </c>
      <c r="F52" s="4" t="n">
        <v>23136456</v>
      </c>
      <c r="G52" s="4" t="n">
        <v>15123</v>
      </c>
      <c r="H52" s="5">
        <f>COUNT(E52:G52)</f>
        <v/>
      </c>
      <c r="I52" s="4">
        <f>IF(OR(F52="",G52=""),"",F52*G52)</f>
        <v/>
      </c>
      <c r="J52" s="6">
        <f>IF(OR(E52="",F52=""),"",F52/E52)</f>
        <v/>
      </c>
      <c r="K52" s="3" t="n"/>
      <c r="L52" s="3" t="n"/>
      <c r="M52" s="3" t="inlineStr">
        <is>
          <t>Great-Media</t>
        </is>
      </c>
      <c r="N52" s="3" t="inlineStr">
        <is>
          <t>Great Mèdia</t>
        </is>
      </c>
      <c r="O52" s="3" t="n"/>
      <c r="P52" s="3" t="inlineStr">
        <is>
          <t>no</t>
        </is>
      </c>
      <c r="Q52" s="4" t="n"/>
      <c r="R52" s="3" t="inlineStr">
        <is>
          <t>capital, population, gdppc, landArea</t>
        </is>
      </c>
      <c r="S52" s="3" t="n"/>
    </row>
    <row r="53">
      <c r="A53" s="3" t="inlineStr">
        <is>
          <t>Helsium</t>
        </is>
      </c>
      <c r="B53" s="3" t="inlineStr">
        <is>
          <t>Xarsetti</t>
        </is>
      </c>
      <c r="C53" s="3">
        <f>CONCATENATE("{{flag|",A53,"}}")</f>
        <v/>
      </c>
      <c r="D53" s="3">
        <f>CONCATENATE("[[",B53,"]]")</f>
        <v/>
      </c>
      <c r="E53" s="4" t="n">
        <v>250000</v>
      </c>
      <c r="F53" s="4" t="n">
        <v>48700000</v>
      </c>
      <c r="G53" s="4" t="n">
        <v>59000</v>
      </c>
      <c r="H53" s="5">
        <f>COUNT(E53:G53)</f>
        <v/>
      </c>
      <c r="I53" s="4">
        <f>IF(OR(F53="",G53=""),"",F53*G53)</f>
        <v/>
      </c>
      <c r="J53" s="6">
        <f>IF(OR(E53="",F53=""),"",F53/E53)</f>
        <v/>
      </c>
      <c r="K53" s="3" t="n"/>
      <c r="L53" s="3" t="n"/>
      <c r="M53" s="3" t="inlineStr">
        <is>
          <t>Helsium</t>
        </is>
      </c>
      <c r="N53" s="3" t="inlineStr">
        <is>
          <t>Helsium</t>
        </is>
      </c>
      <c r="O53" s="49" t="inlineStr">
        <is>
          <t>#b52a18</t>
        </is>
      </c>
      <c r="P53" s="3" t="inlineStr">
        <is>
          <t>yes</t>
        </is>
      </c>
      <c r="Q53" s="4" t="n"/>
      <c r="R53" s="3" t="inlineStr">
        <is>
          <t>capital</t>
        </is>
      </c>
      <c r="S53" s="3" t="n"/>
    </row>
    <row r="54">
      <c r="A54" s="3" t="inlineStr">
        <is>
          <t>Hexanesa</t>
        </is>
      </c>
      <c r="B54" s="3" t="inlineStr">
        <is>
          <t>Gournaion</t>
        </is>
      </c>
      <c r="C54" s="3">
        <f>CONCATENATE("{{flag|",A54,"}}")</f>
        <v/>
      </c>
      <c r="D54" s="3">
        <f>CONCATENATE("[[",B54,"]]")</f>
        <v/>
      </c>
      <c r="E54" s="4" t="n">
        <v>72790</v>
      </c>
      <c r="F54" s="4" t="n">
        <v>216510</v>
      </c>
      <c r="G54" s="4" t="n">
        <v>5065</v>
      </c>
      <c r="H54" s="5">
        <f>COUNT(E54:G54)</f>
        <v/>
      </c>
      <c r="I54" s="4">
        <f>IF(OR(F54="",G54=""),"",F54*G54)</f>
        <v/>
      </c>
      <c r="J54" s="6">
        <f>IF(OR(E54="",F54=""),"",F54/E54)</f>
        <v/>
      </c>
      <c r="K54" s="3" t="n"/>
      <c r="L54" s="3" t="n"/>
      <c r="M54" s="3" t="inlineStr">
        <is>
          <t>Hexanesa</t>
        </is>
      </c>
      <c r="N54" s="3" t="inlineStr">
        <is>
          <t>Hexanesa</t>
        </is>
      </c>
      <c r="O54" s="3" t="n"/>
      <c r="P54" s="3" t="inlineStr">
        <is>
          <t>no</t>
        </is>
      </c>
      <c r="Q54" s="4" t="n"/>
      <c r="R54" s="3" t="inlineStr">
        <is>
          <t>capital, population, gdppc, landArea</t>
        </is>
      </c>
      <c r="S54" s="3" t="n"/>
    </row>
    <row r="55">
      <c r="A55" s="3" t="inlineStr">
        <is>
          <t>Ide Jima</t>
        </is>
      </c>
      <c r="B55" s="3" t="inlineStr">
        <is>
          <t>Darhan</t>
        </is>
      </c>
      <c r="C55" s="3">
        <f>CONCATENATE("{{flag|",A55,"}}")</f>
        <v/>
      </c>
      <c r="D55" s="3">
        <f>CONCATENATE("[[",B55,"]]")</f>
        <v/>
      </c>
      <c r="E55" s="4" t="n">
        <v>930939</v>
      </c>
      <c r="F55" s="4" t="n">
        <v>152400000</v>
      </c>
      <c r="G55" s="4" t="n">
        <v>13687</v>
      </c>
      <c r="H55" s="5">
        <f>COUNT(E55:G55)</f>
        <v/>
      </c>
      <c r="I55" s="4">
        <f>IF(OR(F55="",G55=""),"",F55*G55)</f>
        <v/>
      </c>
      <c r="J55" s="6">
        <f>IF(OR(E55="",F55=""),"",F55/E55)</f>
        <v/>
      </c>
      <c r="K55" s="3" t="n"/>
      <c r="L55" s="3" t="n"/>
      <c r="M55" s="3" t="inlineStr">
        <is>
          <t>Ide-Jima</t>
        </is>
      </c>
      <c r="N55" s="3" t="inlineStr">
        <is>
          <t>Ide Jima</t>
        </is>
      </c>
      <c r="O55" s="50" t="inlineStr">
        <is>
          <t>#0e8769</t>
        </is>
      </c>
      <c r="P55" s="3" t="inlineStr">
        <is>
          <t>yes</t>
        </is>
      </c>
      <c r="Q55" s="4" t="n"/>
      <c r="R55" s="3" t="inlineStr">
        <is>
          <t>capital, population, gdppc, landArea</t>
        </is>
      </c>
      <c r="S55" s="3" t="n"/>
    </row>
    <row r="56">
      <c r="A56" s="3" t="inlineStr">
        <is>
          <t>Ionio</t>
        </is>
      </c>
      <c r="B56" s="3" t="inlineStr">
        <is>
          <t>San Foca</t>
        </is>
      </c>
      <c r="C56" s="3">
        <f>CONCATENATE("{{flag|",A56,"}}")</f>
        <v/>
      </c>
      <c r="D56" s="3">
        <f>CONCATENATE("[[",B56,"]]")</f>
        <v/>
      </c>
      <c r="E56" s="4" t="n">
        <v>314212</v>
      </c>
      <c r="F56" s="4" t="n">
        <v>65784985</v>
      </c>
      <c r="G56" s="4" t="n">
        <v>29879</v>
      </c>
      <c r="H56" s="5">
        <f>COUNT(E56:G56)</f>
        <v/>
      </c>
      <c r="I56" s="4">
        <f>IF(OR(F56="",G56=""),"",F56*G56)</f>
        <v/>
      </c>
      <c r="J56" s="6">
        <f>IF(OR(E56="",F56=""),"",F56/E56)</f>
        <v/>
      </c>
      <c r="K56" s="3" t="n"/>
      <c r="L56" s="3" t="n"/>
      <c r="M56" s="3" t="inlineStr">
        <is>
          <t>Ionio</t>
        </is>
      </c>
      <c r="N56" s="3" t="inlineStr">
        <is>
          <t>Federal Republic of Ionio</t>
        </is>
      </c>
      <c r="O56" s="9" t="inlineStr">
        <is>
          <t>#ffffff</t>
        </is>
      </c>
      <c r="P56" s="3" t="inlineStr">
        <is>
          <t>yes</t>
        </is>
      </c>
      <c r="Q56" s="4" t="n">
        <v>423709</v>
      </c>
      <c r="R56" s="3" t="n"/>
      <c r="S56" s="3" t="n"/>
    </row>
    <row r="57">
      <c r="A57" s="3" t="inlineStr">
        <is>
          <t>Iverica</t>
        </is>
      </c>
      <c r="B57" s="3" t="inlineStr">
        <is>
          <t>Intreimor</t>
        </is>
      </c>
      <c r="C57" s="3">
        <f>CONCATENATE("{{flag|",A57,"}}")</f>
        <v/>
      </c>
      <c r="D57" s="3">
        <f>CONCATENATE("[[",B57,"]]")</f>
        <v/>
      </c>
      <c r="E57" s="4" t="n">
        <v>563257</v>
      </c>
      <c r="F57" s="4" t="n">
        <v>152187090</v>
      </c>
      <c r="G57" s="4" t="n">
        <v>48532</v>
      </c>
      <c r="H57" s="5">
        <f>COUNT(E57:G57)</f>
        <v/>
      </c>
      <c r="I57" s="4">
        <f>IF(OR(F57="",G57=""),"",F57*G57)</f>
        <v/>
      </c>
      <c r="J57" s="6">
        <f>IF(OR(E57="",F57=""),"",F57/E57)</f>
        <v/>
      </c>
      <c r="K57" s="3" t="n"/>
      <c r="L57" s="3" t="n"/>
      <c r="M57" s="3" t="inlineStr">
        <is>
          <t>Iverica</t>
        </is>
      </c>
      <c r="N57" s="3" t="inlineStr">
        <is>
          <t>Iverica</t>
        </is>
      </c>
      <c r="O57" s="51" t="inlineStr">
        <is>
          <t>#f8c91a</t>
        </is>
      </c>
      <c r="P57" s="3" t="inlineStr">
        <is>
          <t>yes</t>
        </is>
      </c>
      <c r="Q57" s="4" t="n"/>
      <c r="R57" s="3" t="inlineStr">
        <is>
          <t>capital</t>
        </is>
      </c>
      <c r="S57" s="3" t="n"/>
    </row>
    <row r="58">
      <c r="A58" s="3" t="inlineStr">
        <is>
          <t>Iwenland</t>
        </is>
      </c>
      <c r="B58" s="3" t="inlineStr">
        <is>
          <t>Zestrathaven</t>
        </is>
      </c>
      <c r="C58" s="3">
        <f>CONCATENATE("{{flag|",A58,"}}")</f>
        <v/>
      </c>
      <c r="D58" s="3">
        <f>CONCATENATE("[[",B58,"]]")</f>
        <v/>
      </c>
      <c r="E58" s="4" t="n">
        <v>2113</v>
      </c>
      <c r="F58" s="4" t="n">
        <v>1200000</v>
      </c>
      <c r="G58" s="4" t="n">
        <v>17000</v>
      </c>
      <c r="H58" s="5">
        <f>COUNT(E58:G58)</f>
        <v/>
      </c>
      <c r="I58" s="4">
        <f>IF(OR(F58="",G58=""),"",F58*G58)</f>
        <v/>
      </c>
      <c r="J58" s="6">
        <f>IF(OR(E58="",F58=""),"",F58/E58)</f>
        <v/>
      </c>
      <c r="K58" s="3" t="n"/>
      <c r="L58" s="3" t="n"/>
      <c r="M58" s="3" t="inlineStr">
        <is>
          <t>Iwenland</t>
        </is>
      </c>
      <c r="N58" s="3" t="inlineStr">
        <is>
          <t>Iwenland</t>
        </is>
      </c>
      <c r="O58" s="52" t="inlineStr">
        <is>
          <t>#df8352</t>
        </is>
      </c>
      <c r="P58" s="3" t="inlineStr">
        <is>
          <t>yes</t>
        </is>
      </c>
      <c r="Q58" s="4" t="n"/>
      <c r="R58" s="3" t="inlineStr">
        <is>
          <t>capital, population, gdppc, landArea</t>
        </is>
      </c>
      <c r="S58" s="3" t="n"/>
    </row>
    <row r="59">
      <c r="A59" s="3" t="inlineStr">
        <is>
          <t>Kalnija</t>
        </is>
      </c>
      <c r="B59" s="3" t="inlineStr">
        <is>
          <t>Grobija</t>
        </is>
      </c>
      <c r="C59" s="3">
        <f>CONCATENATE("{{flag|",A59,"}}")</f>
        <v/>
      </c>
      <c r="D59" s="3">
        <f>CONCATENATE("[[",B59,"]]")</f>
        <v/>
      </c>
      <c r="E59" s="4" t="n">
        <v>53831</v>
      </c>
      <c r="F59" s="4" t="n">
        <v>3231421</v>
      </c>
      <c r="G59" s="4" t="n">
        <v>14777</v>
      </c>
      <c r="H59" s="5">
        <f>COUNT(E59:G59)</f>
        <v/>
      </c>
      <c r="I59" s="4">
        <f>IF(OR(F59="",G59=""),"",F59*G59)</f>
        <v/>
      </c>
      <c r="J59" s="6">
        <f>IF(OR(E59="",F59=""),"",F59/E59)</f>
        <v/>
      </c>
      <c r="K59" s="3" t="n"/>
      <c r="L59" s="3" t="n"/>
      <c r="M59" s="3" t="inlineStr">
        <is>
          <t>Kalnija</t>
        </is>
      </c>
      <c r="N59" s="3" t="inlineStr">
        <is>
          <t>Kalnija</t>
        </is>
      </c>
      <c r="O59" s="53" t="inlineStr">
        <is>
          <t>#0d8ce7</t>
        </is>
      </c>
      <c r="P59" s="3" t="inlineStr">
        <is>
          <t>yes</t>
        </is>
      </c>
      <c r="Q59" s="4" t="n"/>
      <c r="R59" s="3" t="inlineStr">
        <is>
          <t>capital, population, gdppc, landArea</t>
        </is>
      </c>
      <c r="S59" s="3" t="n"/>
    </row>
    <row r="60">
      <c r="A60" s="3" t="inlineStr">
        <is>
          <t>Kirvina</t>
        </is>
      </c>
      <c r="B60" s="3" t="inlineStr">
        <is>
          <t>Achilleia</t>
        </is>
      </c>
      <c r="C60" s="3">
        <f>CONCATENATE("{{flag|",A60,"}}")</f>
        <v/>
      </c>
      <c r="D60" s="3">
        <f>CONCATENATE("[[",B60,"]]")</f>
        <v/>
      </c>
      <c r="E60" s="4" t="n">
        <v>180000</v>
      </c>
      <c r="F60" s="4" t="n">
        <v>14003548</v>
      </c>
      <c r="G60" s="4" t="n">
        <v>27788</v>
      </c>
      <c r="H60" s="5">
        <f>COUNT(E60:G60)</f>
        <v/>
      </c>
      <c r="I60" s="4">
        <f>IF(OR(F60="",G60=""),"",F60*G60)</f>
        <v/>
      </c>
      <c r="J60" s="6">
        <f>IF(OR(E60="",F60=""),"",F60/E60)</f>
        <v/>
      </c>
      <c r="K60" s="3" t="n"/>
      <c r="L60" s="3" t="n"/>
      <c r="M60" s="3" t="inlineStr">
        <is>
          <t>Kirvina</t>
        </is>
      </c>
      <c r="N60" s="3" t="inlineStr">
        <is>
          <t>Kirvina</t>
        </is>
      </c>
      <c r="O60" s="9" t="inlineStr">
        <is>
          <t>#ffffff</t>
        </is>
      </c>
      <c r="P60" s="3" t="inlineStr">
        <is>
          <t>yes</t>
        </is>
      </c>
      <c r="Q60" s="4" t="n">
        <v>374185</v>
      </c>
      <c r="R60" s="3" t="inlineStr">
        <is>
          <t>capital</t>
        </is>
      </c>
      <c r="S60" s="3" t="inlineStr">
        <is>
          <t>yes</t>
        </is>
      </c>
    </row>
    <row r="61">
      <c r="A61" s="3" t="inlineStr">
        <is>
          <t>Kolhar</t>
        </is>
      </c>
      <c r="B61" s="3" t="inlineStr">
        <is>
          <t>Vakor</t>
        </is>
      </c>
      <c r="C61" s="3">
        <f>CONCATENATE("{{flag|",A61,"}}")</f>
        <v/>
      </c>
      <c r="D61" s="3">
        <f>CONCATENATE("[[",B61,"]]")</f>
        <v/>
      </c>
      <c r="E61" s="4" t="n">
        <v>239930</v>
      </c>
      <c r="F61" s="4" t="n">
        <v>51596834</v>
      </c>
      <c r="G61" s="4" t="n">
        <v>21337</v>
      </c>
      <c r="H61" s="5">
        <f>COUNT(E61:G61)</f>
        <v/>
      </c>
      <c r="I61" s="4">
        <f>IF(OR(F61="",G61=""),"",F61*G61)</f>
        <v/>
      </c>
      <c r="J61" s="6">
        <f>IF(OR(E61="",F61=""),"",F61/E61)</f>
        <v/>
      </c>
      <c r="K61" s="3" t="n"/>
      <c r="L61" s="3" t="n"/>
      <c r="M61" s="3" t="inlineStr">
        <is>
          <t>Kolhar</t>
        </is>
      </c>
      <c r="N61" s="3" t="inlineStr">
        <is>
          <t>Kolhar</t>
        </is>
      </c>
      <c r="O61" s="54" t="inlineStr">
        <is>
          <t>#0a8700</t>
        </is>
      </c>
      <c r="P61" s="3" t="inlineStr">
        <is>
          <t>yes</t>
        </is>
      </c>
      <c r="Q61" s="4" t="n"/>
      <c r="R61" s="3" t="inlineStr">
        <is>
          <t>capital</t>
        </is>
      </c>
      <c r="S61" s="3" t="n"/>
    </row>
    <row r="62">
      <c r="A62" s="3" t="inlineStr">
        <is>
          <t>Korinon</t>
        </is>
      </c>
      <c r="B62" s="3" t="inlineStr">
        <is>
          <t>Verlucio</t>
        </is>
      </c>
      <c r="C62" s="3">
        <f>CONCATENATE("{{flag|",A62,"}}")</f>
        <v/>
      </c>
      <c r="D62" s="3">
        <f>CONCATENATE("[[",B62,"]]")</f>
        <v/>
      </c>
      <c r="E62" s="4" t="n"/>
      <c r="F62" s="4" t="n"/>
      <c r="G62" s="4" t="n"/>
      <c r="H62" s="5">
        <f>COUNT(E62:G62)</f>
        <v/>
      </c>
      <c r="I62" s="4">
        <f>IF(OR(F62="",G62=""),"",F62*G62)</f>
        <v/>
      </c>
      <c r="J62" s="6">
        <f>IF(OR(E62="",F62=""),"",F62/E62)</f>
        <v/>
      </c>
      <c r="K62" s="3" t="n"/>
      <c r="L62" s="3" t="n"/>
      <c r="M62" s="3" t="inlineStr">
        <is>
          <t>Korinon</t>
        </is>
      </c>
      <c r="N62" s="3" t="inlineStr">
        <is>
          <t>Korinon</t>
        </is>
      </c>
      <c r="O62" s="55" t="inlineStr">
        <is>
          <t>#ae001b</t>
        </is>
      </c>
      <c r="P62" s="3" t="inlineStr">
        <is>
          <t>yes</t>
        </is>
      </c>
      <c r="Q62" s="4" t="n"/>
      <c r="R62" s="3" t="n"/>
      <c r="S62" s="3" t="n"/>
    </row>
    <row r="63">
      <c r="A63" s="3" t="inlineStr">
        <is>
          <t>Kotowari</t>
        </is>
      </c>
      <c r="B63" s="3" t="inlineStr">
        <is>
          <t>Kotowari City</t>
        </is>
      </c>
      <c r="C63" s="3">
        <f>CONCATENATE("{{flag|",A63,"}}")</f>
        <v/>
      </c>
      <c r="D63" s="3">
        <f>CONCATENATE("[[",B63,"]]")</f>
        <v/>
      </c>
      <c r="E63" s="4" t="n">
        <v>625596</v>
      </c>
      <c r="F63" s="4" t="n">
        <v>52860000</v>
      </c>
      <c r="G63" s="4" t="n"/>
      <c r="H63" s="5">
        <f>COUNT(E63:G63)</f>
        <v/>
      </c>
      <c r="I63" s="4">
        <f>IF(OR(F63="",G63=""),"",F63*G63)</f>
        <v/>
      </c>
      <c r="J63" s="6">
        <f>IF(OR(E63="",F63=""),"",F63/E63)</f>
        <v/>
      </c>
      <c r="K63" s="3" t="n"/>
      <c r="L63" s="3" t="n"/>
      <c r="M63" s="3" t="inlineStr">
        <is>
          <t>Kotowari</t>
        </is>
      </c>
      <c r="N63" s="3" t="inlineStr">
        <is>
          <t>Kotowari</t>
        </is>
      </c>
      <c r="O63" s="29" t="inlineStr">
        <is>
          <t>#216bac</t>
        </is>
      </c>
      <c r="P63" s="3" t="inlineStr">
        <is>
          <t>yes</t>
        </is>
      </c>
      <c r="Q63" s="4" t="n"/>
      <c r="R63" s="3" t="inlineStr">
        <is>
          <t>capital, population, landArea</t>
        </is>
      </c>
      <c r="S63" s="3" t="n"/>
    </row>
    <row r="64">
      <c r="A64" s="3" t="inlineStr">
        <is>
          <t>Kíziáuke</t>
        </is>
      </c>
      <c r="B64" s="3" t="inlineStr">
        <is>
          <t>Pachetan</t>
        </is>
      </c>
      <c r="C64" s="3">
        <f>CONCATENATE("{{flag|",A64,"}}")</f>
        <v/>
      </c>
      <c r="D64" s="3">
        <f>CONCATENATE("[[",B64,"]]")</f>
        <v/>
      </c>
      <c r="E64" s="4" t="n">
        <v>222000</v>
      </c>
      <c r="F64" s="4" t="n">
        <v>48132950</v>
      </c>
      <c r="G64" s="4" t="n">
        <v>39916</v>
      </c>
      <c r="H64" s="5">
        <f>COUNT(E64:G64)</f>
        <v/>
      </c>
      <c r="I64" s="4">
        <f>IF(OR(F64="",G64=""),"",F64*G64)</f>
        <v/>
      </c>
      <c r="J64" s="6">
        <f>IF(OR(E64="",F64=""),"",F64/E64)</f>
        <v/>
      </c>
      <c r="K64" s="3" t="n"/>
      <c r="L64" s="3" t="n"/>
      <c r="M64" s="3" t="inlineStr">
        <is>
          <t>Kiziauke</t>
        </is>
      </c>
      <c r="N64" s="3" t="inlineStr">
        <is>
          <t>Kīzināpe Sintezan Socialist Republics</t>
        </is>
      </c>
      <c r="O64" s="56" t="inlineStr">
        <is>
          <t>#b71137</t>
        </is>
      </c>
      <c r="P64" s="3" t="inlineStr">
        <is>
          <t>yes</t>
        </is>
      </c>
      <c r="Q64" s="4" t="n"/>
      <c r="R64" s="3" t="n"/>
      <c r="S64" s="3" t="n"/>
    </row>
    <row r="65">
      <c r="A65" s="3" t="inlineStr">
        <is>
          <t>Kōri-Chi</t>
        </is>
      </c>
      <c r="B65" s="3" t="inlineStr">
        <is>
          <t>Dākuōku</t>
        </is>
      </c>
      <c r="C65" s="3">
        <f>CONCATENATE("{{flag|",A65,"}}")</f>
        <v/>
      </c>
      <c r="D65" s="3">
        <f>CONCATENATE("[[",B65,"]]")</f>
        <v/>
      </c>
      <c r="E65" s="4" t="n">
        <v>312187</v>
      </c>
      <c r="F65" s="4" t="n">
        <v>40000000</v>
      </c>
      <c r="G65" s="4" t="n">
        <v>5400</v>
      </c>
      <c r="H65" s="5">
        <f>COUNT(E65:G65)</f>
        <v/>
      </c>
      <c r="I65" s="4">
        <f>IF(OR(F65="",G65=""),"",F65*G65)</f>
        <v/>
      </c>
      <c r="J65" s="6">
        <f>IF(OR(E65="",F65=""),"",F65/E65)</f>
        <v/>
      </c>
      <c r="K65" s="3" t="n"/>
      <c r="L65" s="3" t="n"/>
      <c r="M65" s="3" t="inlineStr">
        <is>
          <t>Kori-Chi</t>
        </is>
      </c>
      <c r="N65" s="3" t="inlineStr">
        <is>
          <t>Kōri-Chi</t>
        </is>
      </c>
      <c r="O65" s="3" t="n"/>
      <c r="P65" s="3" t="inlineStr">
        <is>
          <t>no</t>
        </is>
      </c>
      <c r="Q65" s="4" t="n"/>
      <c r="R65" s="3" t="inlineStr">
        <is>
          <t>capital, population, gdppc, landArea</t>
        </is>
      </c>
      <c r="S65" s="3" t="n"/>
    </row>
    <row r="66">
      <c r="A66" s="3" t="inlineStr">
        <is>
          <t>Leimurya</t>
        </is>
      </c>
      <c r="B66" s="3" t="inlineStr">
        <is>
          <t>Mu</t>
        </is>
      </c>
      <c r="C66" s="3">
        <f>CONCATENATE("{{flag|",A66,"}}")</f>
        <v/>
      </c>
      <c r="D66" s="3">
        <f>CONCATENATE("[[",B66,"]]")</f>
        <v/>
      </c>
      <c r="E66" s="4" t="n"/>
      <c r="F66" s="4" t="n"/>
      <c r="G66" s="4" t="n"/>
      <c r="H66" s="5">
        <f>COUNT(E66:G66)</f>
        <v/>
      </c>
      <c r="I66" s="4">
        <f>IF(OR(F66="",G66=""),"",F66*G66)</f>
        <v/>
      </c>
      <c r="J66" s="6">
        <f>IF(OR(E66="",F66=""),"",F66/E66)</f>
        <v/>
      </c>
      <c r="K66" s="3" t="n"/>
      <c r="L66" s="3" t="n"/>
      <c r="M66" s="3" t="inlineStr">
        <is>
          <t>Leimurya</t>
        </is>
      </c>
      <c r="N66" s="3" t="inlineStr">
        <is>
          <t>Leimurya</t>
        </is>
      </c>
      <c r="O66" s="57" t="inlineStr">
        <is>
          <t>#2490ff</t>
        </is>
      </c>
      <c r="P66" s="3" t="inlineStr">
        <is>
          <t>yes</t>
        </is>
      </c>
      <c r="Q66" s="4" t="n"/>
      <c r="R66" s="3" t="n"/>
      <c r="S66" s="3" t="n"/>
    </row>
    <row r="67">
      <c r="A67" s="3" t="inlineStr">
        <is>
          <t>Lenelia</t>
        </is>
      </c>
      <c r="B67" s="3" t="inlineStr">
        <is>
          <t>Font</t>
        </is>
      </c>
      <c r="C67" s="3">
        <f>CONCATENATE("{{flag|",A67,"}}")</f>
        <v/>
      </c>
      <c r="D67" s="3">
        <f>CONCATENATE("[[",B67,"]]")</f>
        <v/>
      </c>
      <c r="E67" s="4" t="n">
        <v>672516</v>
      </c>
      <c r="F67" s="4" t="n">
        <v>59800000</v>
      </c>
      <c r="G67" s="4" t="n">
        <v>27331</v>
      </c>
      <c r="H67" s="5">
        <f>COUNT(E67:G67)</f>
        <v/>
      </c>
      <c r="I67" s="4">
        <f>IF(OR(F67="",G67=""),"",F67*G67)</f>
        <v/>
      </c>
      <c r="J67" s="6">
        <f>IF(OR(E67="",F67=""),"",F67/E67)</f>
        <v/>
      </c>
      <c r="K67" s="3" t="n"/>
      <c r="L67" s="3" t="n"/>
      <c r="M67" s="3" t="inlineStr">
        <is>
          <t>Lenelia</t>
        </is>
      </c>
      <c r="N67" s="3" t="inlineStr">
        <is>
          <t>Lenelia</t>
        </is>
      </c>
      <c r="O67" s="58" t="inlineStr">
        <is>
          <t>#fbc61f</t>
        </is>
      </c>
      <c r="P67" s="3" t="inlineStr">
        <is>
          <t>yes</t>
        </is>
      </c>
      <c r="Q67" s="4" t="n"/>
      <c r="R67" s="3" t="inlineStr">
        <is>
          <t>capital</t>
        </is>
      </c>
      <c r="S67" s="3" t="n"/>
    </row>
    <row r="68">
      <c r="A68" s="3" t="inlineStr">
        <is>
          <t>Llalta</t>
        </is>
      </c>
      <c r="B68" s="3" t="inlineStr">
        <is>
          <t>Saint Christopher</t>
        </is>
      </c>
      <c r="C68" s="3">
        <f>CONCATENATE("{{flag|",A68,"}}")</f>
        <v/>
      </c>
      <c r="D68" s="3">
        <f>CONCATENATE("[[",B68,"]]")</f>
        <v/>
      </c>
      <c r="E68" s="4" t="n">
        <v>3076</v>
      </c>
      <c r="F68" s="4" t="n">
        <v>3136</v>
      </c>
      <c r="G68" s="4" t="n">
        <v>37628</v>
      </c>
      <c r="H68" s="5">
        <f>COUNT(E68:G68)</f>
        <v/>
      </c>
      <c r="I68" s="4">
        <f>IF(OR(F68="",G68=""),"",F68*G68)</f>
        <v/>
      </c>
      <c r="J68" s="6">
        <f>IF(OR(E68="",F68=""),"",F68/E68)</f>
        <v/>
      </c>
      <c r="K68" s="3" t="n"/>
      <c r="L68" s="3" t="n"/>
      <c r="M68" s="3" t="inlineStr">
        <is>
          <t>Llalta</t>
        </is>
      </c>
      <c r="N68" s="3" t="inlineStr">
        <is>
          <t>Llalta</t>
        </is>
      </c>
      <c r="O68" s="3" t="n"/>
      <c r="P68" s="3" t="inlineStr">
        <is>
          <t>no</t>
        </is>
      </c>
      <c r="Q68" s="4" t="n"/>
      <c r="R68" s="3" t="inlineStr">
        <is>
          <t>capital, population, gdppc, landArea</t>
        </is>
      </c>
      <c r="S68" s="3" t="n"/>
    </row>
    <row r="69">
      <c r="A69" s="3" t="inlineStr">
        <is>
          <t>Luterna</t>
        </is>
      </c>
      <c r="B69" s="3" t="inlineStr">
        <is>
          <t>Valiennes</t>
        </is>
      </c>
      <c r="C69" s="3">
        <f>CONCATENATE("{{flag|",A69,"}}")</f>
        <v/>
      </c>
      <c r="D69" s="3">
        <f>CONCATENATE("[[",B69,"]]")</f>
        <v/>
      </c>
      <c r="E69" s="4" t="n">
        <v>220604</v>
      </c>
      <c r="F69" s="4" t="n">
        <v>22560000</v>
      </c>
      <c r="G69" s="4" t="n">
        <v>17800</v>
      </c>
      <c r="H69" s="5">
        <f>COUNT(E69:G69)</f>
        <v/>
      </c>
      <c r="I69" s="4">
        <f>IF(OR(F69="",G69=""),"",F69*G69)</f>
        <v/>
      </c>
      <c r="J69" s="6">
        <f>IF(OR(E69="",F69=""),"",F69/E69)</f>
        <v/>
      </c>
      <c r="K69" s="3" t="n"/>
      <c r="L69" s="3" t="n"/>
      <c r="M69" s="3" t="inlineStr">
        <is>
          <t>Luterna</t>
        </is>
      </c>
      <c r="N69" s="3" t="inlineStr">
        <is>
          <t>Luterna</t>
        </is>
      </c>
      <c r="O69" s="59" t="inlineStr">
        <is>
          <t>#00a2e8</t>
        </is>
      </c>
      <c r="P69" s="3" t="inlineStr">
        <is>
          <t>yes</t>
        </is>
      </c>
      <c r="Q69" s="4" t="n"/>
      <c r="R69" s="3" t="inlineStr">
        <is>
          <t>capital, population, gdppc, landArea</t>
        </is>
      </c>
      <c r="S69" s="3" t="n"/>
    </row>
    <row r="70">
      <c r="A70" s="3" t="inlineStr">
        <is>
          <t>Lysia</t>
        </is>
      </c>
      <c r="B70" s="3" t="inlineStr">
        <is>
          <t>Couer</t>
        </is>
      </c>
      <c r="C70" s="3">
        <f>CONCATENATE("{{flag|",A70,"}}")</f>
        <v/>
      </c>
      <c r="D70" s="3">
        <f>CONCATENATE("[[",B70,"]]")</f>
        <v/>
      </c>
      <c r="E70" s="4" t="n">
        <v>466895</v>
      </c>
      <c r="F70" s="4" t="n">
        <v>20372959</v>
      </c>
      <c r="G70" s="4" t="n">
        <v>19347</v>
      </c>
      <c r="H70" s="5">
        <f>COUNT(E70:G70)</f>
        <v/>
      </c>
      <c r="I70" s="4">
        <f>IF(OR(F70="",G70=""),"",F70*G70)</f>
        <v/>
      </c>
      <c r="J70" s="6">
        <f>IF(OR(E70="",F70=""),"",F70/E70)</f>
        <v/>
      </c>
      <c r="K70" s="3" t="n"/>
      <c r="L70" s="3" t="n"/>
      <c r="M70" s="3" t="inlineStr">
        <is>
          <t>Lysia</t>
        </is>
      </c>
      <c r="N70" s="3" t="inlineStr">
        <is>
          <t>Lysia</t>
        </is>
      </c>
      <c r="O70" s="60" t="inlineStr">
        <is>
          <t>#09224e</t>
        </is>
      </c>
      <c r="P70" s="3" t="inlineStr">
        <is>
          <t>yes</t>
        </is>
      </c>
      <c r="Q70" s="4" t="n"/>
      <c r="R70" s="3" t="inlineStr">
        <is>
          <t>capital, population, gdppc, landArea</t>
        </is>
      </c>
      <c r="S70" s="3" t="n"/>
    </row>
    <row r="71">
      <c r="A71" s="3" t="inlineStr">
        <is>
          <t>Manamana</t>
        </is>
      </c>
      <c r="B71" s="3" t="inlineStr">
        <is>
          <t>Manaca City</t>
        </is>
      </c>
      <c r="C71" s="3">
        <f>CONCATENATE("{{flag|",A71,"}}")</f>
        <v/>
      </c>
      <c r="D71" s="3">
        <f>CONCATENATE("[[",B71,"]]")</f>
        <v/>
      </c>
      <c r="E71" s="4" t="n">
        <v>339988</v>
      </c>
      <c r="F71" s="4" t="n">
        <v>18361225</v>
      </c>
      <c r="G71" s="4" t="n">
        <v>20092</v>
      </c>
      <c r="H71" s="5">
        <f>COUNT(E71:G71)</f>
        <v/>
      </c>
      <c r="I71" s="4">
        <f>IF(OR(F71="",G71=""),"",F71*G71)</f>
        <v/>
      </c>
      <c r="J71" s="6">
        <f>IF(OR(E71="",F71=""),"",F71/E71)</f>
        <v/>
      </c>
      <c r="K71" s="3" t="n"/>
      <c r="L71" s="3" t="n"/>
      <c r="M71" s="3" t="inlineStr">
        <is>
          <t>Manamana</t>
        </is>
      </c>
      <c r="N71" s="3" t="inlineStr">
        <is>
          <t>Manamana</t>
        </is>
      </c>
      <c r="O71" s="61" t="inlineStr">
        <is>
          <t>#267842</t>
        </is>
      </c>
      <c r="P71" s="3" t="inlineStr">
        <is>
          <t>yes</t>
        </is>
      </c>
      <c r="Q71" s="4" t="n"/>
      <c r="R71" s="3" t="inlineStr">
        <is>
          <t>capital, gdppc, landArea</t>
        </is>
      </c>
      <c r="S71" s="3" t="n"/>
    </row>
    <row r="72">
      <c r="A72" s="3" t="inlineStr">
        <is>
          <t>Marcendy</t>
        </is>
      </c>
      <c r="B72" s="3" t="inlineStr">
        <is>
          <t>Argentan</t>
        </is>
      </c>
      <c r="C72" s="3">
        <f>CONCATENATE("{{flag|",A72,"}}")</f>
        <v/>
      </c>
      <c r="D72" s="3">
        <f>CONCATENATE("[[",B72,"]]")</f>
        <v/>
      </c>
      <c r="E72" s="4" t="n"/>
      <c r="F72" s="4" t="n"/>
      <c r="G72" s="4" t="n"/>
      <c r="H72" s="5">
        <f>COUNT(E72:G72)</f>
        <v/>
      </c>
      <c r="I72" s="4">
        <f>IF(OR(F72="",G72=""),"",F72*G72)</f>
        <v/>
      </c>
      <c r="J72" s="6">
        <f>IF(OR(E72="",F72=""),"",F72/E72)</f>
        <v/>
      </c>
      <c r="K72" s="3" t="n"/>
      <c r="L72" s="3" t="n"/>
      <c r="M72" s="3" t="inlineStr">
        <is>
          <t>Marcendy</t>
        </is>
      </c>
      <c r="N72" s="3" t="inlineStr">
        <is>
          <t>Marcendy</t>
        </is>
      </c>
      <c r="O72" s="62" t="inlineStr">
        <is>
          <t>#0034a6</t>
        </is>
      </c>
      <c r="P72" s="3" t="inlineStr">
        <is>
          <t>yes</t>
        </is>
      </c>
      <c r="Q72" s="4" t="n"/>
      <c r="R72" s="3" t="n"/>
      <c r="S72" s="3" t="n"/>
    </row>
    <row r="73">
      <c r="A73" s="3" t="inlineStr">
        <is>
          <t>Marchyydion</t>
        </is>
      </c>
      <c r="B73" s="3" t="inlineStr">
        <is>
          <t>Caer Marchion</t>
        </is>
      </c>
      <c r="C73" s="3">
        <f>CONCATENATE("{{flag|",A73,"}}")</f>
        <v/>
      </c>
      <c r="D73" s="3">
        <f>CONCATENATE("[[",B73,"]]")</f>
        <v/>
      </c>
      <c r="E73" s="4" t="n">
        <v>800000</v>
      </c>
      <c r="F73" s="4" t="n">
        <v>39724000</v>
      </c>
      <c r="G73" s="4" t="n">
        <v>19000</v>
      </c>
      <c r="H73" s="5">
        <f>COUNT(E73:G73)</f>
        <v/>
      </c>
      <c r="I73" s="4">
        <f>IF(OR(F73="",G73=""),"",F73*G73)</f>
        <v/>
      </c>
      <c r="J73" s="6">
        <f>IF(OR(E73="",F73=""),"",F73/E73)</f>
        <v/>
      </c>
      <c r="K73" s="3" t="n"/>
      <c r="L73" s="3" t="n"/>
      <c r="M73" s="3" t="inlineStr">
        <is>
          <t>Marchyydion</t>
        </is>
      </c>
      <c r="N73" s="3" t="inlineStr">
        <is>
          <t>Marchyydion</t>
        </is>
      </c>
      <c r="O73" s="63" t="inlineStr">
        <is>
          <t>#cb6625</t>
        </is>
      </c>
      <c r="P73" s="3" t="inlineStr">
        <is>
          <t>yes</t>
        </is>
      </c>
      <c r="Q73" s="4" t="n"/>
      <c r="R73" s="3" t="inlineStr">
        <is>
          <t>capital</t>
        </is>
      </c>
      <c r="S73" s="3" t="n"/>
    </row>
    <row r="74">
      <c r="A74" s="3" t="inlineStr">
        <is>
          <t>Mekabiri</t>
        </is>
      </c>
      <c r="B74" s="3" t="inlineStr">
        <is>
          <t>Piri</t>
        </is>
      </c>
      <c r="C74" s="3">
        <f>CONCATENATE("{{flag|",A74,"}}")</f>
        <v/>
      </c>
      <c r="D74" s="3">
        <f>CONCATENATE("[[",B74,"]]")</f>
        <v/>
      </c>
      <c r="E74" s="4" t="n">
        <v>522586</v>
      </c>
      <c r="F74" s="4" t="n">
        <v>9149522</v>
      </c>
      <c r="G74" s="4" t="n">
        <v>12859</v>
      </c>
      <c r="H74" s="5">
        <f>COUNT(E74:G74)</f>
        <v/>
      </c>
      <c r="I74" s="4">
        <f>IF(OR(F74="",G74=""),"",F74*G74)</f>
        <v/>
      </c>
      <c r="J74" s="6">
        <f>IF(OR(E74="",F74=""),"",F74/E74)</f>
        <v/>
      </c>
      <c r="K74" s="3" t="n"/>
      <c r="L74" s="3" t="n"/>
      <c r="M74" s="3" t="inlineStr">
        <is>
          <t>Mekabiri</t>
        </is>
      </c>
      <c r="N74" s="3" t="inlineStr">
        <is>
          <t>Mekabiri</t>
        </is>
      </c>
      <c r="O74" s="64" t="inlineStr">
        <is>
          <t>#e14743</t>
        </is>
      </c>
      <c r="P74" s="3" t="inlineStr">
        <is>
          <t>yes</t>
        </is>
      </c>
      <c r="Q74" s="4" t="n"/>
      <c r="R74" s="3" t="inlineStr">
        <is>
          <t>capital, population, gdppc, landArea</t>
        </is>
      </c>
      <c r="S74" s="3" t="n"/>
    </row>
    <row r="75">
      <c r="A75" s="3" t="inlineStr">
        <is>
          <t>Miiros</t>
        </is>
      </c>
      <c r="B75" s="3" t="inlineStr">
        <is>
          <t>Orthen</t>
        </is>
      </c>
      <c r="C75" s="3">
        <f>CONCATENATE("{{flag|",A75,"}}")</f>
        <v/>
      </c>
      <c r="D75" s="3">
        <f>CONCATENATE("[[",B75,"]]")</f>
        <v/>
      </c>
      <c r="E75" s="4" t="n">
        <v>580392</v>
      </c>
      <c r="F75" s="4" t="n">
        <v>5750000</v>
      </c>
      <c r="G75" s="4" t="n">
        <v>59362</v>
      </c>
      <c r="H75" s="5">
        <f>COUNT(E75:G75)</f>
        <v/>
      </c>
      <c r="I75" s="4">
        <f>IF(OR(F75="",G75=""),"",F75*G75)</f>
        <v/>
      </c>
      <c r="J75" s="6">
        <f>IF(OR(E75="",F75=""),"",F75/E75)</f>
        <v/>
      </c>
      <c r="K75" s="3" t="n"/>
      <c r="L75" s="3" t="n"/>
      <c r="M75" s="3" t="inlineStr">
        <is>
          <t>Miiros</t>
        </is>
      </c>
      <c r="N75" s="3" t="inlineStr">
        <is>
          <t>Miiros</t>
        </is>
      </c>
      <c r="O75" s="65" t="inlineStr">
        <is>
          <t>#4dac71</t>
        </is>
      </c>
      <c r="P75" s="3" t="inlineStr">
        <is>
          <t>yes</t>
        </is>
      </c>
      <c r="Q75" s="4" t="n"/>
      <c r="R75" s="3" t="inlineStr">
        <is>
          <t>capital, population, gdppc, landArea</t>
        </is>
      </c>
      <c r="S75" s="3" t="n"/>
    </row>
    <row r="76">
      <c r="A76" s="3" t="inlineStr">
        <is>
          <t>Mikochi</t>
        </is>
      </c>
      <c r="B76" s="3" t="inlineStr">
        <is>
          <t>Umikyo</t>
        </is>
      </c>
      <c r="C76" s="3">
        <f>CONCATENATE("{{flag|",A76,"}}")</f>
        <v/>
      </c>
      <c r="D76" s="3">
        <f>CONCATENATE("[[",B76,"]]")</f>
        <v/>
      </c>
      <c r="E76" s="4" t="n">
        <v>192532</v>
      </c>
      <c r="F76" s="4" t="n">
        <v>68291582</v>
      </c>
      <c r="G76" s="4" t="n">
        <v>38653.89</v>
      </c>
      <c r="H76" s="5">
        <f>COUNT(E76:G76)</f>
        <v/>
      </c>
      <c r="I76" s="4">
        <f>IF(OR(F76="",G76=""),"",F76*G76)</f>
        <v/>
      </c>
      <c r="J76" s="6">
        <f>IF(OR(E76="",F76=""),"",F76/E76)</f>
        <v/>
      </c>
      <c r="K76" s="3" t="n"/>
      <c r="L76" s="3" t="n"/>
      <c r="M76" s="3" t="inlineStr">
        <is>
          <t>Mikochi</t>
        </is>
      </c>
      <c r="N76" s="3" t="inlineStr">
        <is>
          <t>Democratic People's Republic of Mikochi</t>
        </is>
      </c>
      <c r="O76" s="66" t="inlineStr">
        <is>
          <t>#003f89</t>
        </is>
      </c>
      <c r="P76" s="3" t="inlineStr">
        <is>
          <t>yes</t>
        </is>
      </c>
      <c r="Q76" s="4" t="n"/>
      <c r="R76" s="3" t="n"/>
      <c r="S76" s="3" t="n"/>
    </row>
    <row r="77">
      <c r="A77" s="3" t="inlineStr">
        <is>
          <t>Mito</t>
        </is>
      </c>
      <c r="B77" s="3" t="inlineStr">
        <is>
          <t>Kenkyō</t>
        </is>
      </c>
      <c r="C77" s="3">
        <f>CONCATENATE("{{flag|",A77,"}}")</f>
        <v/>
      </c>
      <c r="D77" s="3">
        <f>CONCATENATE("[[",B77,"]]")</f>
        <v/>
      </c>
      <c r="E77" s="4" t="n">
        <v>59355</v>
      </c>
      <c r="F77" s="4" t="n">
        <v>13723000</v>
      </c>
      <c r="G77" s="4" t="n">
        <v>44829</v>
      </c>
      <c r="H77" s="5">
        <f>COUNT(E77:G77)</f>
        <v/>
      </c>
      <c r="I77" s="4">
        <f>IF(OR(F77="",G77=""),"",F77*G77)</f>
        <v/>
      </c>
      <c r="J77" s="6">
        <f>IF(OR(E77="",F77=""),"",F77/E77)</f>
        <v/>
      </c>
      <c r="K77" s="3" t="n"/>
      <c r="L77" s="3" t="n"/>
      <c r="M77" s="3" t="inlineStr">
        <is>
          <t>Mito</t>
        </is>
      </c>
      <c r="N77" s="3" t="inlineStr">
        <is>
          <t>Mito</t>
        </is>
      </c>
      <c r="O77" s="67" t="inlineStr">
        <is>
          <t>#890101</t>
        </is>
      </c>
      <c r="P77" s="3" t="inlineStr">
        <is>
          <t>yes</t>
        </is>
      </c>
      <c r="Q77" s="4" t="n"/>
      <c r="R77" s="3" t="inlineStr">
        <is>
          <t>capital, gdppc, landArea</t>
        </is>
      </c>
      <c r="S77" s="3" t="inlineStr">
        <is>
          <t>yes</t>
        </is>
      </c>
    </row>
    <row r="78">
      <c r="A78" s="3" t="inlineStr">
        <is>
          <t>Nanto</t>
        </is>
      </c>
      <c r="B78" s="3" t="inlineStr">
        <is>
          <t>Sawi</t>
        </is>
      </c>
      <c r="C78" s="3">
        <f>CONCATENATE("{{flag|",A78,"}}")</f>
        <v/>
      </c>
      <c r="D78" s="3">
        <f>CONCATENATE("[[",B78,"]]")</f>
        <v/>
      </c>
      <c r="E78" s="4" t="n">
        <v>12612</v>
      </c>
      <c r="F78" s="4" t="n">
        <v>1174985</v>
      </c>
      <c r="G78" s="4" t="n">
        <v>8453</v>
      </c>
      <c r="H78" s="5">
        <f>COUNT(E78:G78)</f>
        <v/>
      </c>
      <c r="I78" s="4">
        <f>IF(OR(F78="",G78=""),"",F78*G78)</f>
        <v/>
      </c>
      <c r="J78" s="6">
        <f>IF(OR(E78="",F78=""),"",F78/E78)</f>
        <v/>
      </c>
      <c r="K78" s="3" t="n"/>
      <c r="L78" s="3" t="n"/>
      <c r="M78" s="3" t="inlineStr">
        <is>
          <t>Nanto</t>
        </is>
      </c>
      <c r="N78" s="3" t="inlineStr">
        <is>
          <t>Nanto</t>
        </is>
      </c>
      <c r="O78" s="68" t="inlineStr">
        <is>
          <t>#fffa03</t>
        </is>
      </c>
      <c r="P78" s="3" t="inlineStr">
        <is>
          <t>yes</t>
        </is>
      </c>
      <c r="Q78" s="4" t="n"/>
      <c r="R78" s="3" t="inlineStr">
        <is>
          <t>capital, population, gdppc, landArea</t>
        </is>
      </c>
      <c r="S78" s="3" t="n"/>
    </row>
    <row r="79">
      <c r="A79" s="3" t="inlineStr">
        <is>
          <t>Narva</t>
        </is>
      </c>
      <c r="B79" s="3" t="inlineStr">
        <is>
          <t>Mannarsto</t>
        </is>
      </c>
      <c r="C79" s="3">
        <f>CONCATENATE("{{flag|",A79,"}}")</f>
        <v/>
      </c>
      <c r="D79" s="3">
        <f>CONCATENATE("[[",B79,"]]")</f>
        <v/>
      </c>
      <c r="E79" s="4" t="n">
        <v>139886</v>
      </c>
      <c r="F79" s="4" t="n">
        <v>8900435</v>
      </c>
      <c r="G79" s="4" t="n">
        <v>25841</v>
      </c>
      <c r="H79" s="5">
        <f>COUNT(E79:G79)</f>
        <v/>
      </c>
      <c r="I79" s="4">
        <f>IF(OR(F79="",G79=""),"",F79*G79)</f>
        <v/>
      </c>
      <c r="J79" s="6">
        <f>IF(OR(E79="",F79=""),"",F79/E79)</f>
        <v/>
      </c>
      <c r="K79" s="3" t="n"/>
      <c r="L79" s="3" t="n"/>
      <c r="M79" s="3" t="inlineStr">
        <is>
          <t>Narva</t>
        </is>
      </c>
      <c r="N79" s="3" t="inlineStr">
        <is>
          <t>Narva</t>
        </is>
      </c>
      <c r="O79" s="69" t="inlineStr">
        <is>
          <t>#117a65</t>
        </is>
      </c>
      <c r="P79" s="3" t="inlineStr">
        <is>
          <t>yes</t>
        </is>
      </c>
      <c r="Q79" s="4" t="n"/>
      <c r="R79" s="3" t="inlineStr">
        <is>
          <t>capital, population, gdppc, landArea</t>
        </is>
      </c>
      <c r="S79" s="3" t="n"/>
    </row>
    <row r="80">
      <c r="A80" s="3" t="inlineStr">
        <is>
          <t>Neusrya</t>
        </is>
      </c>
      <c r="B80" s="3" t="inlineStr">
        <is>
          <t>Zhaber</t>
        </is>
      </c>
      <c r="C80" s="3">
        <f>CONCATENATE("{{flag|",A80,"}}")</f>
        <v/>
      </c>
      <c r="D80" s="3">
        <f>CONCATENATE("[[",B80,"]]")</f>
        <v/>
      </c>
      <c r="E80" s="4" t="n">
        <v>135418</v>
      </c>
      <c r="F80" s="4" t="n">
        <v>43000000</v>
      </c>
      <c r="G80" s="4" t="n">
        <v>17435</v>
      </c>
      <c r="H80" s="5">
        <f>COUNT(E80:G80)</f>
        <v/>
      </c>
      <c r="I80" s="4">
        <f>IF(OR(F80="",G80=""),"",F80*G80)</f>
        <v/>
      </c>
      <c r="J80" s="6">
        <f>IF(OR(E80="",F80=""),"",F80/E80)</f>
        <v/>
      </c>
      <c r="K80" s="3" t="n"/>
      <c r="L80" s="3" t="n"/>
      <c r="M80" s="3" t="inlineStr">
        <is>
          <t>Neusrya</t>
        </is>
      </c>
      <c r="N80" s="3" t="inlineStr">
        <is>
          <t>Neusrya</t>
        </is>
      </c>
      <c r="O80" s="70" t="inlineStr">
        <is>
          <t>#ac2a29</t>
        </is>
      </c>
      <c r="P80" s="3" t="inlineStr">
        <is>
          <t>yes</t>
        </is>
      </c>
      <c r="Q80" s="4" t="n"/>
      <c r="R80" s="3" t="inlineStr">
        <is>
          <t>capital, population, gdppc, landArea</t>
        </is>
      </c>
      <c r="S80" s="3" t="n"/>
    </row>
    <row r="81">
      <c r="A81" s="3" t="inlineStr">
        <is>
          <t>Niederoestereich</t>
        </is>
      </c>
      <c r="B81" s="3" t="inlineStr">
        <is>
          <t>Ranke</t>
        </is>
      </c>
      <c r="C81" s="3">
        <f>CONCATENATE("{{flag|",A81,"}}")</f>
        <v/>
      </c>
      <c r="D81" s="3">
        <f>CONCATENATE("[[",B81,"]]")</f>
        <v/>
      </c>
      <c r="E81" s="4" t="n">
        <v>295393</v>
      </c>
      <c r="F81" s="4" t="n">
        <v>14906117</v>
      </c>
      <c r="G81" s="4" t="n">
        <v>59178</v>
      </c>
      <c r="H81" s="5">
        <f>COUNT(E81:G81)</f>
        <v/>
      </c>
      <c r="I81" s="4">
        <f>IF(OR(F81="",G81=""),"",F81*G81)</f>
        <v/>
      </c>
      <c r="J81" s="6">
        <f>IF(OR(E81="",F81=""),"",F81/E81)</f>
        <v/>
      </c>
      <c r="K81" s="3" t="n"/>
      <c r="L81" s="3" t="n"/>
      <c r="M81" s="3" t="inlineStr">
        <is>
          <t>Niederoestereich</t>
        </is>
      </c>
      <c r="N81" s="3" t="inlineStr">
        <is>
          <t>Niederoestereich</t>
        </is>
      </c>
      <c r="O81" s="3" t="n"/>
      <c r="P81" s="3" t="inlineStr">
        <is>
          <t>no</t>
        </is>
      </c>
      <c r="Q81" s="4" t="n"/>
      <c r="R81" s="3" t="inlineStr">
        <is>
          <t>capital, population, gdppc, landArea</t>
        </is>
      </c>
      <c r="S81" s="3" t="n"/>
    </row>
    <row r="82">
      <c r="A82" s="3" t="inlineStr">
        <is>
          <t>North Dniester</t>
        </is>
      </c>
      <c r="B82" s="3" t="inlineStr">
        <is>
          <t>Tiraspol</t>
        </is>
      </c>
      <c r="C82" s="3">
        <f>CONCATENATE("{{flag|",A82,"}}")</f>
        <v/>
      </c>
      <c r="D82" s="3">
        <f>CONCATENATE("[[",B82,"]]")</f>
        <v/>
      </c>
      <c r="E82" s="4" t="n"/>
      <c r="F82" s="4" t="n"/>
      <c r="G82" s="4" t="n"/>
      <c r="H82" s="5">
        <f>COUNT(E82:G82)</f>
        <v/>
      </c>
      <c r="I82" s="4">
        <f>IF(OR(F82="",G82=""),"",F82*G82)</f>
        <v/>
      </c>
      <c r="J82" s="6">
        <f>IF(OR(E82="",F82=""),"",F82/E82)</f>
        <v/>
      </c>
      <c r="K82" s="3" t="n"/>
      <c r="L82" s="3" t="n"/>
      <c r="M82" s="3" t="inlineStr">
        <is>
          <t>North-Dniester</t>
        </is>
      </c>
      <c r="N82" s="3" t="inlineStr">
        <is>
          <t>North Dniester</t>
        </is>
      </c>
      <c r="O82" s="71" t="inlineStr">
        <is>
          <t>#cc0000</t>
        </is>
      </c>
      <c r="P82" s="3" t="inlineStr">
        <is>
          <t>yes</t>
        </is>
      </c>
      <c r="Q82" s="4" t="n"/>
      <c r="R82" s="3" t="n"/>
      <c r="S82" s="3" t="n"/>
    </row>
    <row r="83">
      <c r="A83" s="3" t="inlineStr">
        <is>
          <t>Nova Occidentalis</t>
        </is>
      </c>
      <c r="B83" s="3" t="inlineStr">
        <is>
          <t>Treipoduri</t>
        </is>
      </c>
      <c r="C83" s="3">
        <f>CONCATENATE("{{flag|",A83,"}}")</f>
        <v/>
      </c>
      <c r="D83" s="3">
        <f>CONCATENATE("[[",B83,"]]")</f>
        <v/>
      </c>
      <c r="E83" s="4" t="n">
        <v>475000</v>
      </c>
      <c r="F83" s="4" t="n">
        <v>73245000</v>
      </c>
      <c r="G83" s="4" t="n">
        <v>18450</v>
      </c>
      <c r="H83" s="5">
        <f>COUNT(E83:G83)</f>
        <v/>
      </c>
      <c r="I83" s="4">
        <f>IF(OR(F83="",G83=""),"",F83*G83)</f>
        <v/>
      </c>
      <c r="J83" s="6">
        <f>IF(OR(E83="",F83=""),"",F83/E83)</f>
        <v/>
      </c>
      <c r="K83" s="3" t="n"/>
      <c r="L83" s="3" t="n"/>
      <c r="M83" s="3" t="inlineStr">
        <is>
          <t>Nova-Occidentalis</t>
        </is>
      </c>
      <c r="N83" s="3" t="inlineStr">
        <is>
          <t>Nova Occidentalis</t>
        </is>
      </c>
      <c r="O83" s="72" t="inlineStr">
        <is>
          <t>#1b1b1b</t>
        </is>
      </c>
      <c r="P83" s="3" t="inlineStr">
        <is>
          <t>yes</t>
        </is>
      </c>
      <c r="Q83" s="4" t="n"/>
      <c r="R83" s="3" t="n"/>
      <c r="S83" s="3" t="n"/>
    </row>
    <row r="84">
      <c r="A84" s="3" t="inlineStr">
        <is>
          <t>Obereland</t>
        </is>
      </c>
      <c r="B84" s="3" t="inlineStr">
        <is>
          <t>Durven</t>
        </is>
      </c>
      <c r="C84" s="3">
        <f>CONCATENATE("{{flag|",A84,"}}")</f>
        <v/>
      </c>
      <c r="D84" s="3">
        <f>CONCATENATE("[[",B84,"]]")</f>
        <v/>
      </c>
      <c r="E84" s="4" t="n"/>
      <c r="F84" s="4" t="n"/>
      <c r="G84" s="4" t="n"/>
      <c r="H84" s="5">
        <f>COUNT(E84:G84)</f>
        <v/>
      </c>
      <c r="I84" s="4">
        <f>IF(OR(F84="",G84=""),"",F84*G84)</f>
        <v/>
      </c>
      <c r="J84" s="6">
        <f>IF(OR(E84="",F84=""),"",F84/E84)</f>
        <v/>
      </c>
      <c r="K84" s="3" t="n"/>
      <c r="L84" s="3" t="n"/>
      <c r="M84" s="3" t="inlineStr">
        <is>
          <t>Obereland</t>
        </is>
      </c>
      <c r="N84" s="3" t="inlineStr">
        <is>
          <t>Provisional Administration of Obereland</t>
        </is>
      </c>
      <c r="O84" s="73" t="inlineStr">
        <is>
          <t>#ffce00</t>
        </is>
      </c>
      <c r="P84" s="3" t="inlineStr">
        <is>
          <t>yes</t>
        </is>
      </c>
      <c r="Q84" s="4" t="n"/>
      <c r="R84" s="3" t="n"/>
      <c r="S84" s="3" t="n"/>
    </row>
    <row r="85">
      <c r="A85" s="3" t="inlineStr">
        <is>
          <t>Orioni</t>
        </is>
      </c>
      <c r="B85" s="3" t="inlineStr">
        <is>
          <t>O'polis</t>
        </is>
      </c>
      <c r="C85" s="3">
        <f>CONCATENATE("{{flag|",A85,"}}")</f>
        <v/>
      </c>
      <c r="D85" s="3">
        <f>CONCATENATE("[[",B85,"]]")</f>
        <v/>
      </c>
      <c r="E85" s="4" t="n">
        <v>1320687</v>
      </c>
      <c r="F85" s="4" t="n">
        <v>147478008</v>
      </c>
      <c r="G85" s="4" t="n">
        <v>58297.29</v>
      </c>
      <c r="H85" s="5">
        <f>COUNT(E85:G85)</f>
        <v/>
      </c>
      <c r="I85" s="4">
        <f>IF(OR(F85="",G85=""),"",F85*G85)</f>
        <v/>
      </c>
      <c r="J85" s="6">
        <f>IF(OR(E85="",F85=""),"",F85/E85)</f>
        <v/>
      </c>
      <c r="K85" s="3" t="n"/>
      <c r="L85" s="3" t="n"/>
      <c r="M85" s="3" t="inlineStr">
        <is>
          <t>Orioni</t>
        </is>
      </c>
      <c r="N85" s="3" t="inlineStr">
        <is>
          <t>Beautiful Empire of Orioni</t>
        </is>
      </c>
      <c r="O85" s="74" t="inlineStr">
        <is>
          <t>#010066</t>
        </is>
      </c>
      <c r="P85" s="3" t="inlineStr">
        <is>
          <t>yes</t>
        </is>
      </c>
      <c r="Q85" s="4" t="n"/>
      <c r="R85" s="3" t="n"/>
      <c r="S85" s="3" t="n"/>
    </row>
    <row r="86">
      <c r="A86" s="3" t="inlineStr">
        <is>
          <t>Oyussa</t>
        </is>
      </c>
      <c r="B86" s="3" t="inlineStr">
        <is>
          <t>Yulaa</t>
        </is>
      </c>
      <c r="C86" s="3">
        <f>CONCATENATE("{{flag|",A86,"}}")</f>
        <v/>
      </c>
      <c r="D86" s="3">
        <f>CONCATENATE("[[",B86,"]]")</f>
        <v/>
      </c>
      <c r="E86" s="4" t="n"/>
      <c r="F86" s="4" t="n"/>
      <c r="G86" s="4" t="n"/>
      <c r="H86" s="5">
        <f>COUNT(E86:G86)</f>
        <v/>
      </c>
      <c r="I86" s="4">
        <f>IF(OR(F86="",G86=""),"",F86*G86)</f>
        <v/>
      </c>
      <c r="J86" s="6">
        <f>IF(OR(E86="",F86=""),"",F86/E86)</f>
        <v/>
      </c>
      <c r="K86" s="3" t="n"/>
      <c r="L86" s="3" t="n"/>
      <c r="M86" s="3" t="inlineStr">
        <is>
          <t>Oyussa</t>
        </is>
      </c>
      <c r="N86" s="3" t="inlineStr">
        <is>
          <t>Oyussa</t>
        </is>
      </c>
      <c r="O86" s="75" t="inlineStr">
        <is>
          <t>#eef2c1</t>
        </is>
      </c>
      <c r="P86" s="3" t="inlineStr">
        <is>
          <t>yes</t>
        </is>
      </c>
      <c r="Q86" s="4" t="n"/>
      <c r="R86" s="3" t="n"/>
      <c r="S86" s="3" t="n"/>
    </row>
    <row r="87">
      <c r="A87" s="3" t="inlineStr">
        <is>
          <t>Parvaquilee</t>
        </is>
      </c>
      <c r="B87" s="3" t="inlineStr">
        <is>
          <t>Fort Liberte</t>
        </is>
      </c>
      <c r="C87" s="3">
        <f>CONCATENATE("{{flag|",A87,"}}")</f>
        <v/>
      </c>
      <c r="D87" s="3">
        <f>CONCATENATE("[[",B87,"]]")</f>
        <v/>
      </c>
      <c r="E87" s="4" t="n"/>
      <c r="F87" s="4" t="n"/>
      <c r="G87" s="4" t="n"/>
      <c r="H87" s="5">
        <f>COUNT(E87:G87)</f>
        <v/>
      </c>
      <c r="I87" s="4">
        <f>IF(OR(F87="",G87=""),"",F87*G87)</f>
        <v/>
      </c>
      <c r="J87" s="6">
        <f>IF(OR(E87="",F87=""),"",F87/E87)</f>
        <v/>
      </c>
      <c r="K87" s="3" t="n"/>
      <c r="L87" s="3" t="n"/>
      <c r="M87" s="3" t="inlineStr">
        <is>
          <t>Parvaquilee</t>
        </is>
      </c>
      <c r="N87" s="3" t="inlineStr">
        <is>
          <t>Parvaquilee</t>
        </is>
      </c>
      <c r="O87" s="76" t="inlineStr">
        <is>
          <t>#4d1d63</t>
        </is>
      </c>
      <c r="P87" s="3" t="inlineStr">
        <is>
          <t>yes</t>
        </is>
      </c>
      <c r="Q87" s="4" t="n"/>
      <c r="R87" s="3" t="n"/>
      <c r="S87" s="3" t="n"/>
    </row>
    <row r="88">
      <c r="A88" s="3" t="inlineStr">
        <is>
          <t>Pentium</t>
        </is>
      </c>
      <c r="B88" s="3" t="inlineStr">
        <is>
          <t>Whedon's Row</t>
        </is>
      </c>
      <c r="C88" s="3">
        <f>CONCATENATE("{{flag|",A88,"}}")</f>
        <v/>
      </c>
      <c r="D88" s="3">
        <f>CONCATENATE("[[",B88,"]]")</f>
        <v/>
      </c>
      <c r="E88" s="4" t="n">
        <v>389287</v>
      </c>
      <c r="F88" s="4" t="n">
        <v>95456345</v>
      </c>
      <c r="G88" s="4" t="n">
        <v>37542</v>
      </c>
      <c r="H88" s="5">
        <f>COUNT(E88:G88)</f>
        <v/>
      </c>
      <c r="I88" s="4">
        <f>IF(OR(F88="",G88=""),"",F88*G88)</f>
        <v/>
      </c>
      <c r="J88" s="6">
        <f>IF(OR(E88="",F88=""),"",F88/E88)</f>
        <v/>
      </c>
      <c r="K88" s="3" t="n"/>
      <c r="L88" s="3" t="n"/>
      <c r="M88" s="3" t="inlineStr">
        <is>
          <t>Pentium</t>
        </is>
      </c>
      <c r="N88" s="3" t="inlineStr">
        <is>
          <t>Pentium</t>
        </is>
      </c>
      <c r="O88" s="77" t="inlineStr">
        <is>
          <t>#27556f</t>
        </is>
      </c>
      <c r="P88" s="3" t="inlineStr">
        <is>
          <t>yes</t>
        </is>
      </c>
      <c r="Q88" s="4" t="n"/>
      <c r="R88" s="3" t="inlineStr">
        <is>
          <t>capital</t>
        </is>
      </c>
      <c r="S88" s="3" t="n"/>
    </row>
    <row r="89">
      <c r="A89" s="3" t="inlineStr">
        <is>
          <t>Piekinigaje</t>
        </is>
      </c>
      <c r="B89" s="3" t="inlineStr">
        <is>
          <t>Goresk</t>
        </is>
      </c>
      <c r="C89" s="3">
        <f>CONCATENATE("{{flag|",A89,"}}")</f>
        <v/>
      </c>
      <c r="D89" s="3">
        <f>CONCATENATE("[[",B89,"]]")</f>
        <v/>
      </c>
      <c r="E89" s="4" t="n">
        <v>228053</v>
      </c>
      <c r="F89" s="4" t="n">
        <v>14572581</v>
      </c>
      <c r="G89" s="4" t="n">
        <v>37825</v>
      </c>
      <c r="H89" s="5">
        <f>COUNT(E89:G89)</f>
        <v/>
      </c>
      <c r="I89" s="4">
        <f>IF(OR(F89="",G89=""),"",F89*G89)</f>
        <v/>
      </c>
      <c r="J89" s="6">
        <f>IF(OR(E89="",F89=""),"",F89/E89)</f>
        <v/>
      </c>
      <c r="K89" s="3" t="n"/>
      <c r="L89" s="3" t="n"/>
      <c r="M89" s="3" t="inlineStr">
        <is>
          <t>Piekinigaje</t>
        </is>
      </c>
      <c r="N89" s="3" t="inlineStr">
        <is>
          <t>United Federal Republics of Piekinigaje</t>
        </is>
      </c>
      <c r="O89" s="78" t="inlineStr">
        <is>
          <t>#c0b446</t>
        </is>
      </c>
      <c r="P89" s="3" t="inlineStr">
        <is>
          <t>yes</t>
        </is>
      </c>
      <c r="Q89" s="4" t="n"/>
      <c r="R89" s="3" t="n"/>
      <c r="S89" s="3" t="n"/>
    </row>
    <row r="90">
      <c r="A90" s="3" t="inlineStr">
        <is>
          <t>Poja</t>
        </is>
      </c>
      <c r="B90" s="3" t="inlineStr">
        <is>
          <t>Rugi</t>
        </is>
      </c>
      <c r="C90" s="3">
        <f>CONCATENATE("{{flag|",A90,"}}")</f>
        <v/>
      </c>
      <c r="D90" s="3">
        <f>CONCATENATE("[[",B90,"]]")</f>
        <v/>
      </c>
      <c r="E90" s="4" t="n">
        <v>504767</v>
      </c>
      <c r="F90" s="4" t="n">
        <v>69773930</v>
      </c>
      <c r="G90" s="4" t="n">
        <v>26901</v>
      </c>
      <c r="H90" s="5">
        <f>COUNT(E90:G90)</f>
        <v/>
      </c>
      <c r="I90" s="4">
        <f>IF(OR(F90="",G90=""),"",F90*G90)</f>
        <v/>
      </c>
      <c r="J90" s="6">
        <f>IF(OR(E90="",F90=""),"",F90/E90)</f>
        <v/>
      </c>
      <c r="K90" s="3" t="n"/>
      <c r="L90" s="3" t="n"/>
      <c r="M90" s="3" t="inlineStr">
        <is>
          <t>Poja</t>
        </is>
      </c>
      <c r="N90" s="3" t="inlineStr">
        <is>
          <t>Poja</t>
        </is>
      </c>
      <c r="O90" s="79" t="inlineStr">
        <is>
          <t>#303097</t>
        </is>
      </c>
      <c r="P90" s="3" t="inlineStr">
        <is>
          <t>yes</t>
        </is>
      </c>
      <c r="Q90" s="4" t="n"/>
      <c r="R90" s="3" t="inlineStr">
        <is>
          <t>capital</t>
        </is>
      </c>
      <c r="S90" s="3" t="n"/>
    </row>
    <row r="91">
      <c r="A91" s="3" t="inlineStr">
        <is>
          <t>Prymont</t>
        </is>
      </c>
      <c r="B91" s="3" t="inlineStr">
        <is>
          <t>New Halsham</t>
        </is>
      </c>
      <c r="C91" s="3">
        <f>CONCATENATE("{{flag|",A91,"}}")</f>
        <v/>
      </c>
      <c r="D91" s="3">
        <f>CONCATENATE("[[",B91,"]]")</f>
        <v/>
      </c>
      <c r="E91" s="4" t="n">
        <v>267100</v>
      </c>
      <c r="F91" s="4" t="n">
        <v>12011000</v>
      </c>
      <c r="G91" s="4" t="n">
        <v>59772</v>
      </c>
      <c r="H91" s="5">
        <f>COUNT(E91:G91)</f>
        <v/>
      </c>
      <c r="I91" s="4">
        <f>IF(OR(F91="",G91=""),"",F91*G91)</f>
        <v/>
      </c>
      <c r="J91" s="6">
        <f>IF(OR(E91="",F91=""),"",F91/E91)</f>
        <v/>
      </c>
      <c r="K91" s="3" t="n"/>
      <c r="L91" s="3" t="n"/>
      <c r="M91" s="3" t="inlineStr">
        <is>
          <t>Prymont</t>
        </is>
      </c>
      <c r="N91" s="3" t="inlineStr">
        <is>
          <t>Prymont</t>
        </is>
      </c>
      <c r="O91" s="80" t="inlineStr">
        <is>
          <t>#0094ff</t>
        </is>
      </c>
      <c r="P91" s="3" t="inlineStr">
        <is>
          <t>yes</t>
        </is>
      </c>
      <c r="Q91" s="4" t="n"/>
      <c r="R91" s="3" t="inlineStr">
        <is>
          <t>capital, population, gdppc, landArea</t>
        </is>
      </c>
      <c r="S91" s="3" t="n"/>
    </row>
    <row r="92">
      <c r="A92" s="3" t="inlineStr">
        <is>
          <t>Qubdi</t>
        </is>
      </c>
      <c r="B92" s="3" t="inlineStr">
        <is>
          <t>Taqdir</t>
        </is>
      </c>
      <c r="C92" s="3">
        <f>CONCATENATE("{{flag|",A92,"}}")</f>
        <v/>
      </c>
      <c r="D92" s="3">
        <f>CONCATENATE("[[",B92,"]]")</f>
        <v/>
      </c>
      <c r="E92" s="4" t="n">
        <v>587062</v>
      </c>
      <c r="F92" s="4" t="n">
        <v>203412021</v>
      </c>
      <c r="G92" s="4" t="n">
        <v>7325</v>
      </c>
      <c r="H92" s="5">
        <f>COUNT(E92:G92)</f>
        <v/>
      </c>
      <c r="I92" s="4">
        <f>IF(OR(F92="",G92=""),"",F92*G92)</f>
        <v/>
      </c>
      <c r="J92" s="6">
        <f>IF(OR(E92="",F92=""),"",F92/E92)</f>
        <v/>
      </c>
      <c r="K92" s="3" t="n"/>
      <c r="L92" s="3" t="n"/>
      <c r="M92" s="3" t="inlineStr">
        <is>
          <t>Qubdi</t>
        </is>
      </c>
      <c r="N92" s="3" t="inlineStr">
        <is>
          <t>Qubdi</t>
        </is>
      </c>
      <c r="O92" s="81" t="inlineStr">
        <is>
          <t>#eece05</t>
        </is>
      </c>
      <c r="P92" s="3" t="inlineStr">
        <is>
          <t>yes</t>
        </is>
      </c>
      <c r="Q92" s="4" t="n"/>
      <c r="R92" s="3" t="inlineStr">
        <is>
          <t>capital, population, gdppc, landArea</t>
        </is>
      </c>
      <c r="S92" s="3" t="n"/>
    </row>
    <row r="93">
      <c r="A93" s="3" t="inlineStr">
        <is>
          <t>Ralzawr</t>
        </is>
      </c>
      <c r="B93" s="3" t="inlineStr">
        <is>
          <t>Yiywa</t>
        </is>
      </c>
      <c r="C93" s="3">
        <f>CONCATENATE("{{flag|",A93,"}}")</f>
        <v/>
      </c>
      <c r="D93" s="3">
        <f>CONCATENATE("[[",B93,"]]")</f>
        <v/>
      </c>
      <c r="E93" s="4" t="n">
        <v>1500000</v>
      </c>
      <c r="F93" s="4" t="n">
        <v>12815308</v>
      </c>
      <c r="G93" s="4" t="n">
        <v>58973</v>
      </c>
      <c r="H93" s="5">
        <f>COUNT(E93:G93)</f>
        <v/>
      </c>
      <c r="I93" s="4">
        <f>IF(OR(F93="",G93=""),"",F93*G93)</f>
        <v/>
      </c>
      <c r="J93" s="6">
        <f>IF(OR(E93="",F93=""),"",F93/E93)</f>
        <v/>
      </c>
      <c r="K93" s="3" t="n"/>
      <c r="L93" s="3" t="n"/>
      <c r="M93" s="3" t="inlineStr">
        <is>
          <t>Ralzawr</t>
        </is>
      </c>
      <c r="N93" s="3" t="inlineStr">
        <is>
          <t>Ralzawr</t>
        </is>
      </c>
      <c r="O93" s="82" t="inlineStr">
        <is>
          <t>#01356a</t>
        </is>
      </c>
      <c r="P93" s="3" t="inlineStr">
        <is>
          <t>yes</t>
        </is>
      </c>
      <c r="Q93" s="4" t="n"/>
      <c r="R93" s="3" t="inlineStr">
        <is>
          <t>capital</t>
        </is>
      </c>
      <c r="S93" s="3" t="n"/>
    </row>
    <row r="94">
      <c r="A94" s="3" t="inlineStr">
        <is>
          <t>Red Iberos</t>
        </is>
      </c>
      <c r="B94" s="3" t="inlineStr">
        <is>
          <t>Porto Premia</t>
        </is>
      </c>
      <c r="C94" s="3">
        <f>CONCATENATE("{{flag|",A94,"}}")</f>
        <v/>
      </c>
      <c r="D94" s="3">
        <f>CONCATENATE("[[",B94,"]]")</f>
        <v/>
      </c>
      <c r="E94" s="4" t="n">
        <v>839087</v>
      </c>
      <c r="F94" s="4" t="n">
        <v>26000000</v>
      </c>
      <c r="G94" s="4" t="n">
        <v>22957</v>
      </c>
      <c r="H94" s="5">
        <f>COUNT(E94:G94)</f>
        <v/>
      </c>
      <c r="I94" s="4">
        <f>IF(OR(F94="",G94=""),"",F94*G94)</f>
        <v/>
      </c>
      <c r="J94" s="6">
        <f>IF(OR(E94="",F94=""),"",F94/E94)</f>
        <v/>
      </c>
      <c r="K94" s="3" t="n"/>
      <c r="L94" s="3" t="n"/>
      <c r="M94" s="3" t="inlineStr">
        <is>
          <t>Red-Iberos</t>
        </is>
      </c>
      <c r="N94" s="3" t="inlineStr">
        <is>
          <t>Red Iberos</t>
        </is>
      </c>
      <c r="O94" s="83" t="inlineStr">
        <is>
          <t>#b9112a</t>
        </is>
      </c>
      <c r="P94" s="3" t="inlineStr">
        <is>
          <t>yes</t>
        </is>
      </c>
      <c r="Q94" s="4" t="n"/>
      <c r="R94" s="3" t="inlineStr">
        <is>
          <t>capital, population, gdppc, landArea</t>
        </is>
      </c>
      <c r="S94" s="3" t="n"/>
    </row>
    <row r="95">
      <c r="A95" s="3" t="inlineStr">
        <is>
          <t>Rhodellia</t>
        </is>
      </c>
      <c r="B95" s="3" t="inlineStr">
        <is>
          <t>Friedrichstadt</t>
        </is>
      </c>
      <c r="C95" s="3">
        <f>CONCATENATE("{{flag|",A95,"}}")</f>
        <v/>
      </c>
      <c r="D95" s="3">
        <f>CONCATENATE("[[",B95,"]]")</f>
        <v/>
      </c>
      <c r="E95" s="4" t="n">
        <v>89200</v>
      </c>
      <c r="F95" s="4" t="n">
        <v>24900000</v>
      </c>
      <c r="G95" s="4" t="n">
        <v>59500</v>
      </c>
      <c r="H95" s="5">
        <f>COUNT(E95:G95)</f>
        <v/>
      </c>
      <c r="I95" s="4">
        <f>IF(OR(F95="",G95=""),"",F95*G95)</f>
        <v/>
      </c>
      <c r="J95" s="6">
        <f>IF(OR(E95="",F95=""),"",F95/E95)</f>
        <v/>
      </c>
      <c r="K95" s="3" t="n"/>
      <c r="L95" s="3" t="n"/>
      <c r="M95" s="3" t="inlineStr">
        <is>
          <t>Rhodellia</t>
        </is>
      </c>
      <c r="N95" s="3" t="inlineStr">
        <is>
          <t>Rhodellia</t>
        </is>
      </c>
      <c r="O95" s="84" t="inlineStr">
        <is>
          <t>#f5be51</t>
        </is>
      </c>
      <c r="P95" s="3" t="inlineStr">
        <is>
          <t>yes</t>
        </is>
      </c>
      <c r="Q95" s="4" t="n">
        <v>251216</v>
      </c>
      <c r="R95" s="3" t="inlineStr">
        <is>
          <t>capital</t>
        </is>
      </c>
      <c r="S95" s="3" t="n"/>
    </row>
    <row r="96">
      <c r="A96" s="3" t="inlineStr">
        <is>
          <t>Rohini</t>
        </is>
      </c>
      <c r="B96" s="3" t="inlineStr">
        <is>
          <t>Vali</t>
        </is>
      </c>
      <c r="C96" s="3">
        <f>CONCATENATE("{{flag|",A96,"}}")</f>
        <v/>
      </c>
      <c r="D96" s="3">
        <f>CONCATENATE("[[",B96,"]]")</f>
        <v/>
      </c>
      <c r="E96" s="4" t="n">
        <v>13713</v>
      </c>
      <c r="F96" s="4" t="n">
        <v>1691876</v>
      </c>
      <c r="G96" s="4" t="n"/>
      <c r="H96" s="5">
        <f>COUNT(E96:G96)</f>
        <v/>
      </c>
      <c r="I96" s="4">
        <f>IF(OR(F96="",G96=""),"",F96*G96)</f>
        <v/>
      </c>
      <c r="J96" s="6">
        <f>IF(OR(E96="",F96=""),"",F96/E96)</f>
        <v/>
      </c>
      <c r="K96" s="3" t="n"/>
      <c r="L96" s="3" t="n"/>
      <c r="M96" s="3" t="inlineStr">
        <is>
          <t>Rohini</t>
        </is>
      </c>
      <c r="N96" s="3" t="inlineStr">
        <is>
          <t>Rohini</t>
        </is>
      </c>
      <c r="O96" s="3" t="n"/>
      <c r="P96" s="3" t="inlineStr">
        <is>
          <t>no</t>
        </is>
      </c>
      <c r="Q96" s="4" t="n"/>
      <c r="R96" s="3" t="inlineStr">
        <is>
          <t>capital, population, landArea</t>
        </is>
      </c>
      <c r="S96" s="3" t="n"/>
    </row>
    <row r="97">
      <c r="A97" s="3" t="inlineStr">
        <is>
          <t>Sa Ma Khom</t>
        </is>
      </c>
      <c r="B97" s="3" t="inlineStr">
        <is>
          <t>Ha Ninh</t>
        </is>
      </c>
      <c r="C97" s="3">
        <f>CONCATENATE("{{flag|",A97,"}}")</f>
        <v/>
      </c>
      <c r="D97" s="3">
        <f>CONCATENATE("[[",B97,"]]")</f>
        <v/>
      </c>
      <c r="E97" s="4" t="n">
        <v>446926</v>
      </c>
      <c r="F97" s="4" t="n">
        <v>13000000</v>
      </c>
      <c r="G97" s="4" t="n">
        <v>14000</v>
      </c>
      <c r="H97" s="5">
        <f>COUNT(E97:G97)</f>
        <v/>
      </c>
      <c r="I97" s="4">
        <f>IF(OR(F97="",G97=""),"",F97*G97)</f>
        <v/>
      </c>
      <c r="J97" s="6">
        <f>IF(OR(E97="",F97=""),"",F97/E97)</f>
        <v/>
      </c>
      <c r="K97" s="3" t="n"/>
      <c r="L97" s="3" t="n"/>
      <c r="M97" s="3" t="inlineStr">
        <is>
          <t>Sa-Ma-Khom</t>
        </is>
      </c>
      <c r="N97" s="3" t="inlineStr">
        <is>
          <t>Sa Ma Khom</t>
        </is>
      </c>
      <c r="O97" s="85" t="inlineStr">
        <is>
          <t>#e0dd47</t>
        </is>
      </c>
      <c r="P97" s="3" t="inlineStr">
        <is>
          <t>yes</t>
        </is>
      </c>
      <c r="Q97" s="4" t="n"/>
      <c r="R97" s="3" t="inlineStr">
        <is>
          <t>capital, population, gdppc, landArea</t>
        </is>
      </c>
      <c r="S97" s="3" t="n"/>
    </row>
    <row r="98">
      <c r="A98" s="3" t="inlineStr">
        <is>
          <t>Sahra</t>
        </is>
      </c>
      <c r="B98" s="3" t="inlineStr">
        <is>
          <t>Ra</t>
        </is>
      </c>
      <c r="C98" s="3">
        <f>CONCATENATE("{{flag|",A98,"}}")</f>
        <v/>
      </c>
      <c r="D98" s="3">
        <f>CONCATENATE("[[",B98,"]]")</f>
        <v/>
      </c>
      <c r="E98" s="4" t="n">
        <v>846377</v>
      </c>
      <c r="F98" s="4" t="n">
        <v>40000000</v>
      </c>
      <c r="G98" s="4" t="n">
        <v>18000</v>
      </c>
      <c r="H98" s="5">
        <f>COUNT(E98:G98)</f>
        <v/>
      </c>
      <c r="I98" s="4">
        <f>IF(OR(F98="",G98=""),"",F98*G98)</f>
        <v/>
      </c>
      <c r="J98" s="6">
        <f>IF(OR(E98="",F98=""),"",F98/E98)</f>
        <v/>
      </c>
      <c r="K98" s="3" t="n"/>
      <c r="L98" s="3" t="n"/>
      <c r="M98" s="3" t="inlineStr">
        <is>
          <t>Sahra</t>
        </is>
      </c>
      <c r="N98" s="3" t="inlineStr">
        <is>
          <t>Sahra</t>
        </is>
      </c>
      <c r="O98" s="86" t="inlineStr">
        <is>
          <t>#d5750e</t>
        </is>
      </c>
      <c r="P98" s="3" t="inlineStr">
        <is>
          <t>yes</t>
        </is>
      </c>
      <c r="Q98" s="4" t="n"/>
      <c r="R98" s="3" t="inlineStr">
        <is>
          <t>capital</t>
        </is>
      </c>
      <c r="S98" s="3" t="n"/>
    </row>
    <row r="99">
      <c r="A99" s="3" t="inlineStr">
        <is>
          <t>Salvia</t>
        </is>
      </c>
      <c r="B99" s="3" t="inlineStr">
        <is>
          <t>Deopolis</t>
        </is>
      </c>
      <c r="C99" s="3">
        <f>CONCATENATE("{{flag|",A99,"}}")</f>
        <v/>
      </c>
      <c r="D99" s="3">
        <f>CONCATENATE("[[",B99,"]]")</f>
        <v/>
      </c>
      <c r="E99" s="4" t="n">
        <v>389451</v>
      </c>
      <c r="F99" s="4" t="n">
        <v>23001900</v>
      </c>
      <c r="G99" s="4" t="n">
        <v>38910</v>
      </c>
      <c r="H99" s="5">
        <f>COUNT(E99:G99)</f>
        <v/>
      </c>
      <c r="I99" s="4">
        <f>IF(OR(F99="",G99=""),"",F99*G99)</f>
        <v/>
      </c>
      <c r="J99" s="6">
        <f>IF(OR(E99="",F99=""),"",F99/E99)</f>
        <v/>
      </c>
      <c r="K99" s="3" t="n"/>
      <c r="L99" s="3" t="n"/>
      <c r="M99" s="3" t="inlineStr">
        <is>
          <t>Salvia</t>
        </is>
      </c>
      <c r="N99" s="3" t="inlineStr">
        <is>
          <t>Salvia</t>
        </is>
      </c>
      <c r="O99" s="87" t="inlineStr">
        <is>
          <t>#ffda00</t>
        </is>
      </c>
      <c r="P99" s="3" t="inlineStr">
        <is>
          <t>yes</t>
        </is>
      </c>
      <c r="Q99" s="4" t="n"/>
      <c r="R99" s="3" t="inlineStr">
        <is>
          <t>capital, population, gdppc, landArea</t>
        </is>
      </c>
      <c r="S99" s="3" t="n"/>
    </row>
    <row r="100">
      <c r="A100" s="3" t="inlineStr">
        <is>
          <t>San Giorgio</t>
        </is>
      </c>
      <c r="B100" s="3" t="inlineStr">
        <is>
          <t>Sabato</t>
        </is>
      </c>
      <c r="C100" s="3">
        <f>CONCATENATE("{{flag|",A100,"}}")</f>
        <v/>
      </c>
      <c r="D100" s="3">
        <f>CONCATENATE("[[",B100,"]]")</f>
        <v/>
      </c>
      <c r="E100" s="4" t="n">
        <v>7975</v>
      </c>
      <c r="F100" s="4" t="n">
        <v>3046546</v>
      </c>
      <c r="G100" s="4" t="n"/>
      <c r="H100" s="5">
        <f>COUNT(E100:G100)</f>
        <v/>
      </c>
      <c r="I100" s="4">
        <f>IF(OR(F100="",G100=""),"",F100*G100)</f>
        <v/>
      </c>
      <c r="J100" s="6">
        <f>IF(OR(E100="",F100=""),"",F100/E100)</f>
        <v/>
      </c>
      <c r="K100" s="3" t="n"/>
      <c r="L100" s="3" t="n"/>
      <c r="M100" s="3" t="inlineStr">
        <is>
          <t>San-Giorgio</t>
        </is>
      </c>
      <c r="N100" s="3" t="inlineStr">
        <is>
          <t>San Giorgio</t>
        </is>
      </c>
      <c r="O100" s="88" t="inlineStr">
        <is>
          <t>#160e69</t>
        </is>
      </c>
      <c r="P100" s="3" t="inlineStr">
        <is>
          <t>yes</t>
        </is>
      </c>
      <c r="Q100" s="4" t="n"/>
      <c r="R100" s="3" t="inlineStr">
        <is>
          <t>capital, population, landArea</t>
        </is>
      </c>
      <c r="S100" s="3" t="n"/>
    </row>
    <row r="101">
      <c r="A101" s="3" t="inlineStr">
        <is>
          <t>San Jorge</t>
        </is>
      </c>
      <c r="B101" s="3" t="inlineStr">
        <is>
          <t>Santa Isabel</t>
        </is>
      </c>
      <c r="C101" s="3">
        <f>CONCATENATE("{{flag|",A101,"}}")</f>
        <v/>
      </c>
      <c r="D101" s="3">
        <f>CONCATENATE("[[",B101,"]]")</f>
        <v/>
      </c>
      <c r="E101" s="4" t="n">
        <v>10584</v>
      </c>
      <c r="F101" s="4" t="n">
        <v>2328572</v>
      </c>
      <c r="G101" s="4" t="n"/>
      <c r="H101" s="5">
        <f>COUNT(E101:G101)</f>
        <v/>
      </c>
      <c r="I101" s="4">
        <f>IF(OR(F101="",G101=""),"",F101*G101)</f>
        <v/>
      </c>
      <c r="J101" s="6">
        <f>IF(OR(E101="",F101=""),"",F101/E101)</f>
        <v/>
      </c>
      <c r="K101" s="3" t="n"/>
      <c r="L101" s="3" t="n"/>
      <c r="M101" s="3" t="inlineStr">
        <is>
          <t>San-Jorge</t>
        </is>
      </c>
      <c r="N101" s="3" t="inlineStr">
        <is>
          <t>San Jorge</t>
        </is>
      </c>
      <c r="O101" s="89" t="inlineStr">
        <is>
          <t>#c6000e</t>
        </is>
      </c>
      <c r="P101" s="3" t="inlineStr">
        <is>
          <t>yes</t>
        </is>
      </c>
      <c r="Q101" s="4" t="n"/>
      <c r="R101" s="3" t="inlineStr">
        <is>
          <t>capital, population, landArea</t>
        </is>
      </c>
      <c r="S101" s="3" t="n"/>
    </row>
    <row r="102">
      <c r="A102" s="3" t="inlineStr">
        <is>
          <t>Sentist State</t>
        </is>
      </c>
      <c r="B102" s="3" t="inlineStr">
        <is>
          <t>Ashein City</t>
        </is>
      </c>
      <c r="C102" s="3">
        <f>CONCATENATE("{{flag|",A102,"}}")</f>
        <v/>
      </c>
      <c r="D102" s="3">
        <f>CONCATENATE("[[",B102,"]]")</f>
        <v/>
      </c>
      <c r="E102" s="4" t="n"/>
      <c r="F102" s="4" t="n"/>
      <c r="G102" s="4" t="n"/>
      <c r="H102" s="5">
        <f>COUNT(E102:G102)</f>
        <v/>
      </c>
      <c r="I102" s="4">
        <f>IF(OR(F102="",G102=""),"",F102*G102)</f>
        <v/>
      </c>
      <c r="J102" s="6">
        <f>IF(OR(E102="",F102=""),"",F102/E102)</f>
        <v/>
      </c>
      <c r="K102" s="3" t="n"/>
      <c r="L102" s="3" t="n"/>
      <c r="M102" s="3" t="inlineStr">
        <is>
          <t>Sentist-State</t>
        </is>
      </c>
      <c r="N102" s="3" t="inlineStr">
        <is>
          <t>Sentist State</t>
        </is>
      </c>
      <c r="O102" s="90" t="inlineStr">
        <is>
          <t>#790917</t>
        </is>
      </c>
      <c r="P102" s="3" t="inlineStr">
        <is>
          <t>yes</t>
        </is>
      </c>
      <c r="Q102" s="4" t="n"/>
      <c r="R102" s="3" t="n"/>
      <c r="S102" s="3" t="n"/>
    </row>
    <row r="103">
      <c r="A103" s="3" t="inlineStr">
        <is>
          <t>Sokhanistan</t>
        </is>
      </c>
      <c r="B103" s="3" t="inlineStr">
        <is>
          <t>Valakilea</t>
        </is>
      </c>
      <c r="C103" s="3">
        <f>CONCATENATE("{{flag|",A103,"}}")</f>
        <v/>
      </c>
      <c r="D103" s="3">
        <f>CONCATENATE("[[",B103,"]]")</f>
        <v/>
      </c>
      <c r="E103" s="4" t="n">
        <v>528980</v>
      </c>
      <c r="F103" s="4" t="n">
        <v>46537935</v>
      </c>
      <c r="G103" s="4" t="n"/>
      <c r="H103" s="5">
        <f>COUNT(E103:G103)</f>
        <v/>
      </c>
      <c r="I103" s="4">
        <f>IF(OR(F103="",G103=""),"",F103*G103)</f>
        <v/>
      </c>
      <c r="J103" s="6">
        <f>IF(OR(E103="",F103=""),"",F103/E103)</f>
        <v/>
      </c>
      <c r="K103" s="3" t="n"/>
      <c r="L103" s="3" t="n"/>
      <c r="M103" s="3" t="inlineStr">
        <is>
          <t>Sokhanistan</t>
        </is>
      </c>
      <c r="N103" s="3" t="inlineStr">
        <is>
          <t>Sokhanistan</t>
        </is>
      </c>
      <c r="O103" s="91" t="inlineStr">
        <is>
          <t>#951009</t>
        </is>
      </c>
      <c r="P103" s="3" t="inlineStr">
        <is>
          <t>yes</t>
        </is>
      </c>
      <c r="Q103" s="4" t="n"/>
      <c r="R103" s="3" t="inlineStr">
        <is>
          <t>capital, population, landArea</t>
        </is>
      </c>
      <c r="S103" s="3" t="n"/>
    </row>
    <row r="104">
      <c r="A104" s="3" t="inlineStr">
        <is>
          <t>Sporsia</t>
        </is>
      </c>
      <c r="B104" s="3" t="inlineStr">
        <is>
          <t>Ganris</t>
        </is>
      </c>
      <c r="C104" s="3">
        <f>CONCATENATE("{{flag|",A104,"}}")</f>
        <v/>
      </c>
      <c r="D104" s="3">
        <f>CONCATENATE("[[",B104,"]]")</f>
        <v/>
      </c>
      <c r="E104" s="4" t="n">
        <v>274520</v>
      </c>
      <c r="F104" s="4" t="n">
        <v>45130102</v>
      </c>
      <c r="G104" s="4" t="n"/>
      <c r="H104" s="5">
        <f>COUNT(E104:G104)</f>
        <v/>
      </c>
      <c r="I104" s="4">
        <f>IF(OR(F104="",G104=""),"",F104*G104)</f>
        <v/>
      </c>
      <c r="J104" s="6">
        <f>IF(OR(E104="",F104=""),"",F104/E104)</f>
        <v/>
      </c>
      <c r="K104" s="3" t="n"/>
      <c r="L104" s="3" t="n"/>
      <c r="M104" s="3" t="inlineStr">
        <is>
          <t>Sporsia</t>
        </is>
      </c>
      <c r="N104" s="3" t="inlineStr">
        <is>
          <t>Sporsia</t>
        </is>
      </c>
      <c r="O104" s="3" t="n"/>
      <c r="P104" s="3" t="inlineStr">
        <is>
          <t>no</t>
        </is>
      </c>
      <c r="Q104" s="4" t="n"/>
      <c r="R104" s="3" t="inlineStr">
        <is>
          <t>capital, population, landArea</t>
        </is>
      </c>
      <c r="S104" s="3" t="n"/>
    </row>
    <row r="105">
      <c r="A105" s="3" t="inlineStr">
        <is>
          <t>Stedoria</t>
        </is>
      </c>
      <c r="B105" s="3" t="inlineStr">
        <is>
          <t>Kapojvar</t>
        </is>
      </c>
      <c r="C105" s="3">
        <f>CONCATENATE("{{flag|",A105,"}}")</f>
        <v/>
      </c>
      <c r="D105" s="3">
        <f>CONCATENATE("[[",B105,"]]")</f>
        <v/>
      </c>
      <c r="E105" s="4" t="n">
        <v>296300</v>
      </c>
      <c r="F105" s="4" t="n">
        <v>26409216</v>
      </c>
      <c r="G105" s="4" t="n">
        <v>21161</v>
      </c>
      <c r="H105" s="5">
        <f>COUNT(E105:G105)</f>
        <v/>
      </c>
      <c r="I105" s="4">
        <f>IF(OR(F105="",G105=""),"",F105*G105)</f>
        <v/>
      </c>
      <c r="J105" s="6">
        <f>IF(OR(E105="",F105=""),"",F105/E105)</f>
        <v/>
      </c>
      <c r="K105" s="3" t="n"/>
      <c r="L105" s="3" t="n"/>
      <c r="M105" s="3" t="inlineStr">
        <is>
          <t>Stedoria</t>
        </is>
      </c>
      <c r="N105" s="3" t="inlineStr">
        <is>
          <t>Stedoria</t>
        </is>
      </c>
      <c r="O105" s="92" t="inlineStr">
        <is>
          <t>#102b5d</t>
        </is>
      </c>
      <c r="P105" s="3" t="inlineStr">
        <is>
          <t>yes</t>
        </is>
      </c>
      <c r="Q105" s="4" t="n"/>
      <c r="R105" s="3" t="inlineStr">
        <is>
          <t>capital</t>
        </is>
      </c>
      <c r="S105" s="3" t="n"/>
    </row>
    <row r="106">
      <c r="A106" s="3" t="inlineStr">
        <is>
          <t>Suminto</t>
        </is>
      </c>
      <c r="B106" s="3" t="inlineStr">
        <is>
          <t>Sumen Batuk</t>
        </is>
      </c>
      <c r="C106" s="3">
        <f>CONCATENATE("{{flag|",A106,"}}")</f>
        <v/>
      </c>
      <c r="D106" s="3">
        <f>CONCATENATE("[[",B106,"]]")</f>
        <v/>
      </c>
      <c r="E106" s="4" t="n">
        <v>345000</v>
      </c>
      <c r="F106" s="4" t="n">
        <v>60000000</v>
      </c>
      <c r="G106" s="4" t="n">
        <v>12800</v>
      </c>
      <c r="H106" s="5">
        <f>COUNT(E106:G106)</f>
        <v/>
      </c>
      <c r="I106" s="4">
        <f>IF(OR(F106="",G106=""),"",F106*G106)</f>
        <v/>
      </c>
      <c r="J106" s="6">
        <f>IF(OR(E106="",F106=""),"",F106/E106)</f>
        <v/>
      </c>
      <c r="K106" s="3" t="n"/>
      <c r="L106" s="3" t="n"/>
      <c r="M106" s="3" t="inlineStr">
        <is>
          <t>Suminto</t>
        </is>
      </c>
      <c r="N106" s="3" t="inlineStr">
        <is>
          <t>Suminto</t>
        </is>
      </c>
      <c r="O106" s="93" t="inlineStr">
        <is>
          <t>#5ab1bb</t>
        </is>
      </c>
      <c r="P106" s="3" t="inlineStr">
        <is>
          <t>yes</t>
        </is>
      </c>
      <c r="Q106" s="4" t="n"/>
      <c r="R106" s="3" t="inlineStr">
        <is>
          <t>capital, population, gdppc, landArea</t>
        </is>
      </c>
      <c r="S106" s="3" t="n"/>
    </row>
    <row r="107">
      <c r="A107" s="3" t="inlineStr">
        <is>
          <t>Sunseong</t>
        </is>
      </c>
      <c r="B107" s="3" t="inlineStr">
        <is>
          <t>Wonchon</t>
        </is>
      </c>
      <c r="C107" s="3">
        <f>CONCATENATE("{{flag|",A107,"}}")</f>
        <v/>
      </c>
      <c r="D107" s="3">
        <f>CONCATENATE("[[",B107,"]]")</f>
        <v/>
      </c>
      <c r="E107" s="4" t="n">
        <v>182292</v>
      </c>
      <c r="F107" s="4" t="n">
        <v>47600000</v>
      </c>
      <c r="G107" s="4" t="n">
        <v>29369</v>
      </c>
      <c r="H107" s="5">
        <f>COUNT(E107:G107)</f>
        <v/>
      </c>
      <c r="I107" s="4">
        <f>IF(OR(F107="",G107=""),"",F107*G107)</f>
        <v/>
      </c>
      <c r="J107" s="6">
        <f>IF(OR(E107="",F107=""),"",F107/E107)</f>
        <v/>
      </c>
      <c r="K107" s="3" t="n"/>
      <c r="L107" s="3" t="n"/>
      <c r="M107" s="3" t="inlineStr">
        <is>
          <t>Sunseong</t>
        </is>
      </c>
      <c r="N107" s="3" t="inlineStr">
        <is>
          <t>Kingdom of Sunseong</t>
        </is>
      </c>
      <c r="O107" s="94" t="inlineStr">
        <is>
          <t>#008c45</t>
        </is>
      </c>
      <c r="P107" s="3" t="inlineStr">
        <is>
          <t>yes</t>
        </is>
      </c>
      <c r="Q107" s="4" t="n"/>
      <c r="R107" s="3" t="n"/>
      <c r="S107" s="3" t="n"/>
    </row>
    <row r="108">
      <c r="A108" s="3" t="inlineStr">
        <is>
          <t>Sunset Sea Islands</t>
        </is>
      </c>
      <c r="B108" s="3" t="inlineStr">
        <is>
          <t>Sunset City</t>
        </is>
      </c>
      <c r="C108" s="3">
        <f>CONCATENATE("{{flag|",A108,"}}")</f>
        <v/>
      </c>
      <c r="D108" s="3">
        <f>CONCATENATE("[[",B108,"]]")</f>
        <v/>
      </c>
      <c r="E108" s="4" t="n">
        <v>790000</v>
      </c>
      <c r="F108" s="4" t="n">
        <v>68870000</v>
      </c>
      <c r="G108" s="4" t="n">
        <v>15000</v>
      </c>
      <c r="H108" s="5">
        <f>COUNT(E108:G108)</f>
        <v/>
      </c>
      <c r="I108" s="4">
        <f>IF(OR(F108="",G108=""),"",F108*G108)</f>
        <v/>
      </c>
      <c r="J108" s="6">
        <f>IF(OR(E108="",F108=""),"",F108/E108)</f>
        <v/>
      </c>
      <c r="K108" s="3" t="n"/>
      <c r="L108" s="3" t="n"/>
      <c r="M108" s="3" t="inlineStr">
        <is>
          <t>Sunset-Sea-Islands</t>
        </is>
      </c>
      <c r="N108" s="3" t="inlineStr">
        <is>
          <t>Sunset Sea Islands</t>
        </is>
      </c>
      <c r="O108" s="7" t="inlineStr">
        <is>
          <t>#000000</t>
        </is>
      </c>
      <c r="P108" s="3" t="inlineStr">
        <is>
          <t>yes</t>
        </is>
      </c>
      <c r="Q108" s="4" t="n"/>
      <c r="R108" s="3" t="inlineStr">
        <is>
          <t>capital, population, gdppc, landArea</t>
        </is>
      </c>
      <c r="S108" s="3" t="n"/>
    </row>
    <row r="109">
      <c r="A109" s="3" t="inlineStr">
        <is>
          <t>Suverina</t>
        </is>
      </c>
      <c r="B109" s="3" t="inlineStr">
        <is>
          <t>Chişinău</t>
        </is>
      </c>
      <c r="C109" s="3">
        <f>CONCATENATE("{{flag|",A109,"}}")</f>
        <v/>
      </c>
      <c r="D109" s="3">
        <f>CONCATENATE("[[",B109,"]]")</f>
        <v/>
      </c>
      <c r="E109" s="4" t="n">
        <v>891853</v>
      </c>
      <c r="F109" s="4" t="n">
        <v>111815000</v>
      </c>
      <c r="G109" s="4" t="n">
        <v>23767</v>
      </c>
      <c r="H109" s="5">
        <f>COUNT(E109:G109)</f>
        <v/>
      </c>
      <c r="I109" s="4">
        <f>IF(OR(F109="",G109=""),"",F109*G109)</f>
        <v/>
      </c>
      <c r="J109" s="6">
        <f>IF(OR(E109="",F109=""),"",F109/E109)</f>
        <v/>
      </c>
      <c r="K109" s="3" t="n"/>
      <c r="L109" s="3" t="n"/>
      <c r="M109" s="3" t="inlineStr">
        <is>
          <t>Suverina</t>
        </is>
      </c>
      <c r="N109" s="3" t="inlineStr">
        <is>
          <t>Suverina</t>
        </is>
      </c>
      <c r="O109" s="64" t="inlineStr">
        <is>
          <t>#e14743</t>
        </is>
      </c>
      <c r="P109" s="3" t="inlineStr">
        <is>
          <t>yes</t>
        </is>
      </c>
      <c r="Q109" s="4" t="n"/>
      <c r="R109" s="3" t="inlineStr">
        <is>
          <t>capital, population, gdppc, landArea</t>
        </is>
      </c>
      <c r="S109" s="3" t="n"/>
    </row>
    <row r="110">
      <c r="A110" s="3" t="inlineStr">
        <is>
          <t>Tabaristan</t>
        </is>
      </c>
      <c r="B110" s="3" t="inlineStr">
        <is>
          <t>Saari</t>
        </is>
      </c>
      <c r="C110" s="3">
        <f>CONCATENATE("{{flag|",A110,"}}")</f>
        <v/>
      </c>
      <c r="D110" s="3">
        <f>CONCATENATE("[[",B110,"]]")</f>
        <v/>
      </c>
      <c r="E110" s="4" t="n">
        <v>49118</v>
      </c>
      <c r="F110" s="4" t="n">
        <v>15984105</v>
      </c>
      <c r="G110" s="4" t="n">
        <v>21000</v>
      </c>
      <c r="H110" s="5">
        <f>COUNT(E110:G110)</f>
        <v/>
      </c>
      <c r="I110" s="4">
        <f>IF(OR(F110="",G110=""),"",F110*G110)</f>
        <v/>
      </c>
      <c r="J110" s="6">
        <f>IF(OR(E110="",F110=""),"",F110/E110)</f>
        <v/>
      </c>
      <c r="K110" s="3" t="n"/>
      <c r="L110" s="3" t="n"/>
      <c r="M110" s="3" t="inlineStr">
        <is>
          <t>Tabaristan</t>
        </is>
      </c>
      <c r="N110" s="3" t="inlineStr">
        <is>
          <t>Tabaristan</t>
        </is>
      </c>
      <c r="O110" s="95" t="inlineStr">
        <is>
          <t>#16ff00</t>
        </is>
      </c>
      <c r="P110" s="3" t="inlineStr">
        <is>
          <t>yes</t>
        </is>
      </c>
      <c r="Q110" s="4" t="n"/>
      <c r="R110" s="3" t="inlineStr">
        <is>
          <t>capital, population, gdppc, landArea</t>
        </is>
      </c>
      <c r="S110" s="3" t="n"/>
    </row>
    <row r="111">
      <c r="A111" s="3" t="inlineStr">
        <is>
          <t>Tagmatium</t>
        </is>
      </c>
      <c r="B111" s="3" t="inlineStr">
        <is>
          <t>Tagmatika</t>
        </is>
      </c>
      <c r="C111" s="3">
        <f>CONCATENATE("{{flag|",A111,"}}")</f>
        <v/>
      </c>
      <c r="D111" s="3">
        <f>CONCATENATE("[[",B111,"]]")</f>
        <v/>
      </c>
      <c r="E111" s="4" t="n">
        <v>1499825</v>
      </c>
      <c r="F111" s="4" t="n">
        <v>274651624</v>
      </c>
      <c r="G111" s="4" t="n">
        <v>37457</v>
      </c>
      <c r="H111" s="5">
        <f>COUNT(E111:G111)</f>
        <v/>
      </c>
      <c r="I111" s="4">
        <f>IF(OR(F111="",G111=""),"",F111*G111)</f>
        <v/>
      </c>
      <c r="J111" s="6">
        <f>IF(OR(E111="",F111=""),"",F111/E111)</f>
        <v/>
      </c>
      <c r="K111" s="3" t="n"/>
      <c r="L111" s="3" t="n"/>
      <c r="M111" s="3" t="inlineStr">
        <is>
          <t>Tagmatium</t>
        </is>
      </c>
      <c r="N111" s="3" t="inlineStr">
        <is>
          <t>Greater Holy Empire of the Aromans</t>
        </is>
      </c>
      <c r="O111" s="96" t="inlineStr">
        <is>
          <t>#a547a5</t>
        </is>
      </c>
      <c r="P111" s="3" t="inlineStr">
        <is>
          <t>yes</t>
        </is>
      </c>
      <c r="Q111" s="4" t="n">
        <v>1576446</v>
      </c>
      <c r="R111" s="3" t="n"/>
      <c r="S111" s="3" t="n"/>
    </row>
    <row r="112">
      <c r="A112" s="3" t="inlineStr">
        <is>
          <t>Tamurin</t>
        </is>
      </c>
      <c r="B112" s="3" t="inlineStr">
        <is>
          <t>Alaghon</t>
        </is>
      </c>
      <c r="C112" s="3">
        <f>CONCATENATE("{{flag|",A112,"}}")</f>
        <v/>
      </c>
      <c r="D112" s="3">
        <f>CONCATENATE("[[",B112,"]]")</f>
        <v/>
      </c>
      <c r="E112" s="4" t="n">
        <v>560523</v>
      </c>
      <c r="F112" s="4" t="n">
        <v>80193963</v>
      </c>
      <c r="G112" s="4" t="n">
        <v>37274</v>
      </c>
      <c r="H112" s="5">
        <f>COUNT(E112:G112)</f>
        <v/>
      </c>
      <c r="I112" s="4">
        <f>IF(OR(F112="",G112=""),"",F112*G112)</f>
        <v/>
      </c>
      <c r="J112" s="6">
        <f>IF(OR(E112="",F112=""),"",F112/E112)</f>
        <v/>
      </c>
      <c r="K112" s="3" t="n"/>
      <c r="L112" s="3" t="n"/>
      <c r="M112" s="3" t="inlineStr">
        <is>
          <t>Tamurin</t>
        </is>
      </c>
      <c r="N112" s="3" t="inlineStr">
        <is>
          <t>Tamurin</t>
        </is>
      </c>
      <c r="O112" s="97" t="inlineStr">
        <is>
          <t>#dc0000</t>
        </is>
      </c>
      <c r="P112" s="3" t="inlineStr">
        <is>
          <t>yes</t>
        </is>
      </c>
      <c r="Q112" s="4" t="n"/>
      <c r="R112" s="3" t="inlineStr">
        <is>
          <t>capital, population, gdppc, landArea</t>
        </is>
      </c>
      <c r="S112" s="3" t="n"/>
    </row>
    <row r="113">
      <c r="A113" s="3" t="inlineStr">
        <is>
          <t>Tavok</t>
        </is>
      </c>
      <c r="B113" s="3" t="inlineStr">
        <is>
          <t>Tyyrik</t>
        </is>
      </c>
      <c r="C113" s="3">
        <f>CONCATENATE("{{flag|",A113,"}}")</f>
        <v/>
      </c>
      <c r="D113" s="3">
        <f>CONCATENATE("[[",B113,"]]")</f>
        <v/>
      </c>
      <c r="E113" s="4" t="n">
        <v>248153</v>
      </c>
      <c r="F113" s="4" t="n">
        <v>48000000</v>
      </c>
      <c r="G113" s="4" t="n">
        <v>39500</v>
      </c>
      <c r="H113" s="5">
        <f>COUNT(E113:G113)</f>
        <v/>
      </c>
      <c r="I113" s="4">
        <f>IF(OR(F113="",G113=""),"",F113*G113)</f>
        <v/>
      </c>
      <c r="J113" s="6">
        <f>IF(OR(E113="",F113=""),"",F113/E113)</f>
        <v/>
      </c>
      <c r="K113" s="3" t="n"/>
      <c r="L113" s="3" t="n"/>
      <c r="M113" s="3" t="inlineStr">
        <is>
          <t>Tavok</t>
        </is>
      </c>
      <c r="N113" s="3" t="inlineStr">
        <is>
          <t>Republic of Tavok</t>
        </is>
      </c>
      <c r="O113" s="98" t="inlineStr">
        <is>
          <t>#0a3d2a</t>
        </is>
      </c>
      <c r="P113" s="3" t="inlineStr">
        <is>
          <t>yes</t>
        </is>
      </c>
      <c r="Q113" s="4" t="n"/>
      <c r="R113" s="3" t="n"/>
      <c r="S113" s="3" t="n"/>
    </row>
    <row r="114">
      <c r="A114" s="3" t="inlineStr">
        <is>
          <t>Ulfheimr</t>
        </is>
      </c>
      <c r="B114" s="3" t="inlineStr">
        <is>
          <t>Ulfar</t>
        </is>
      </c>
      <c r="C114" s="3">
        <f>CONCATENATE("{{flag|",A114,"}}")</f>
        <v/>
      </c>
      <c r="D114" s="3">
        <f>CONCATENATE("[[",B114,"]]")</f>
        <v/>
      </c>
      <c r="E114" s="4" t="n"/>
      <c r="F114" s="4" t="n"/>
      <c r="G114" s="4" t="n"/>
      <c r="H114" s="5">
        <f>COUNT(E114:G114)</f>
        <v/>
      </c>
      <c r="I114" s="4">
        <f>IF(OR(F114="",G114=""),"",F114*G114)</f>
        <v/>
      </c>
      <c r="J114" s="6">
        <f>IF(OR(E114="",F114=""),"",F114/E114)</f>
        <v/>
      </c>
      <c r="K114" s="3" t="n"/>
      <c r="L114" s="3" t="n"/>
      <c r="M114" s="3" t="inlineStr">
        <is>
          <t>Ulfheimr</t>
        </is>
      </c>
      <c r="N114" s="3" t="inlineStr">
        <is>
          <t>Ulfheimr</t>
        </is>
      </c>
      <c r="O114" s="7" t="inlineStr">
        <is>
          <t>#000000</t>
        </is>
      </c>
      <c r="P114" s="3" t="inlineStr">
        <is>
          <t>yes</t>
        </is>
      </c>
      <c r="Q114" s="4" t="n"/>
      <c r="R114" s="3" t="n"/>
      <c r="S114" s="3" t="n"/>
    </row>
    <row r="115">
      <c r="A115" s="3" t="inlineStr">
        <is>
          <t>Variota</t>
        </is>
      </c>
      <c r="B115" s="3" t="inlineStr">
        <is>
          <t>Ferrefaaierhafen</t>
        </is>
      </c>
      <c r="C115" s="3">
        <f>CONCATENATE("{{flag|",A115,"}}")</f>
        <v/>
      </c>
      <c r="D115" s="3">
        <f>CONCATENATE("[[",B115,"]]")</f>
        <v/>
      </c>
      <c r="E115" s="4" t="n">
        <v>391765</v>
      </c>
      <c r="F115" s="4" t="n">
        <v>41910000</v>
      </c>
      <c r="G115" s="4" t="n">
        <v>37914</v>
      </c>
      <c r="H115" s="5">
        <f>COUNT(E115:G115)</f>
        <v/>
      </c>
      <c r="I115" s="4">
        <f>IF(OR(F115="",G115=""),"",F115*G115)</f>
        <v/>
      </c>
      <c r="J115" s="6">
        <f>IF(OR(E115="",F115=""),"",F115/E115)</f>
        <v/>
      </c>
      <c r="K115" s="3" t="n"/>
      <c r="L115" s="3" t="n"/>
      <c r="M115" s="3" t="inlineStr">
        <is>
          <t>Variota</t>
        </is>
      </c>
      <c r="N115" s="3" t="inlineStr">
        <is>
          <t>Variota</t>
        </is>
      </c>
      <c r="O115" s="99" t="inlineStr">
        <is>
          <t>#18981f</t>
        </is>
      </c>
      <c r="P115" s="3" t="inlineStr">
        <is>
          <t>yes</t>
        </is>
      </c>
      <c r="Q115" s="4" t="n"/>
      <c r="R115" s="3" t="inlineStr">
        <is>
          <t>capital, population, gdppc, landArea</t>
        </is>
      </c>
      <c r="S115" s="3" t="n"/>
    </row>
    <row r="116">
      <c r="A116" s="3" t="inlineStr">
        <is>
          <t>Vasqqa</t>
        </is>
      </c>
      <c r="B116" s="3" t="inlineStr">
        <is>
          <t>Vilvau</t>
        </is>
      </c>
      <c r="C116" s="3">
        <f>CONCATENATE("{{flag|",A116,"}}")</f>
        <v/>
      </c>
      <c r="D116" s="3">
        <f>CONCATENATE("[[",B116,"]]")</f>
        <v/>
      </c>
      <c r="E116" s="4" t="n">
        <v>85111</v>
      </c>
      <c r="F116" s="4" t="n">
        <v>12129800</v>
      </c>
      <c r="G116" s="4" t="n">
        <v>17230</v>
      </c>
      <c r="H116" s="5">
        <f>COUNT(E116:G116)</f>
        <v/>
      </c>
      <c r="I116" s="4">
        <f>IF(OR(F116="",G116=""),"",F116*G116)</f>
        <v/>
      </c>
      <c r="J116" s="6">
        <f>IF(OR(E116="",F116=""),"",F116/E116)</f>
        <v/>
      </c>
      <c r="K116" s="3" t="n"/>
      <c r="L116" s="3" t="n"/>
      <c r="M116" s="3" t="inlineStr">
        <is>
          <t>Vasqqa</t>
        </is>
      </c>
      <c r="N116" s="3" t="inlineStr">
        <is>
          <t>Vasqqa</t>
        </is>
      </c>
      <c r="O116" s="9" t="inlineStr">
        <is>
          <t>#ffffff</t>
        </is>
      </c>
      <c r="P116" s="3" t="inlineStr">
        <is>
          <t>yes</t>
        </is>
      </c>
      <c r="Q116" s="4" t="n"/>
      <c r="R116" s="3" t="inlineStr">
        <is>
          <t>capital, population, gdppc, landArea</t>
        </is>
      </c>
      <c r="S116" s="3" t="n"/>
    </row>
    <row r="117">
      <c r="A117" s="3" t="inlineStr">
        <is>
          <t>Velaheria</t>
        </is>
      </c>
      <c r="B117" s="3" t="inlineStr">
        <is>
          <t>Bastaria</t>
        </is>
      </c>
      <c r="C117" s="3">
        <f>CONCATENATE("{{flag|",A117,"}}")</f>
        <v/>
      </c>
      <c r="D117" s="3">
        <f>CONCATENATE("[[",B117,"]]")</f>
        <v/>
      </c>
      <c r="E117" s="4" t="n">
        <v>313331</v>
      </c>
      <c r="F117" s="4" t="n">
        <v>30403490</v>
      </c>
      <c r="G117" s="4" t="n">
        <v>2600</v>
      </c>
      <c r="H117" s="5">
        <f>COUNT(E117:G117)</f>
        <v/>
      </c>
      <c r="I117" s="4">
        <f>IF(OR(F117="",G117=""),"",F117*G117)</f>
        <v/>
      </c>
      <c r="J117" s="6">
        <f>IF(OR(E117="",F117=""),"",F117/E117)</f>
        <v/>
      </c>
      <c r="K117" s="3" t="n"/>
      <c r="L117" s="3" t="n"/>
      <c r="M117" s="3" t="inlineStr">
        <is>
          <t>Velaheria</t>
        </is>
      </c>
      <c r="N117" s="3" t="inlineStr">
        <is>
          <t>Velaheria</t>
        </is>
      </c>
      <c r="O117" s="3" t="n"/>
      <c r="P117" s="3" t="inlineStr">
        <is>
          <t>no</t>
        </is>
      </c>
      <c r="Q117" s="4" t="n"/>
      <c r="R117" s="3" t="inlineStr">
        <is>
          <t>capital, population, gdppc, landArea</t>
        </is>
      </c>
      <c r="S117" s="3" t="n"/>
    </row>
    <row r="118">
      <c r="A118" s="3" t="inlineStr">
        <is>
          <t>Veldoria</t>
        </is>
      </c>
      <c r="B118" s="3" t="inlineStr">
        <is>
          <t>Vertia</t>
        </is>
      </c>
      <c r="C118" s="3">
        <f>CONCATENATE("{{flag|",A118,"}}")</f>
        <v/>
      </c>
      <c r="D118" s="3">
        <f>CONCATENATE("[[",B118,"]]")</f>
        <v/>
      </c>
      <c r="E118" s="4" t="n"/>
      <c r="F118" s="4" t="n"/>
      <c r="G118" s="4" t="n"/>
      <c r="H118" s="5">
        <f>COUNT(E118:G118)</f>
        <v/>
      </c>
      <c r="I118" s="4">
        <f>IF(OR(F118="",G118=""),"",F118*G118)</f>
        <v/>
      </c>
      <c r="J118" s="6">
        <f>IF(OR(E118="",F118=""),"",F118/E118)</f>
        <v/>
      </c>
      <c r="K118" s="3" t="n"/>
      <c r="L118" s="3" t="n"/>
      <c r="M118" s="3" t="inlineStr">
        <is>
          <t>Veldoria</t>
        </is>
      </c>
      <c r="N118" s="3" t="inlineStr">
        <is>
          <t>Veldorian Democratic Republic</t>
        </is>
      </c>
      <c r="O118" s="7" t="inlineStr">
        <is>
          <t>#000000</t>
        </is>
      </c>
      <c r="P118" s="3" t="inlineStr">
        <is>
          <t>yes</t>
        </is>
      </c>
      <c r="Q118" s="4" t="n"/>
      <c r="R118" s="3" t="n"/>
      <c r="S118" s="3" t="n"/>
    </row>
    <row r="119">
      <c r="A119" s="3" t="inlineStr">
        <is>
          <t>Verraine</t>
        </is>
      </c>
      <c r="B119" s="3" t="inlineStr">
        <is>
          <t>Terre Littoral</t>
        </is>
      </c>
      <c r="C119" s="3">
        <f>CONCATENATE("{{flag|",A119,"}}")</f>
        <v/>
      </c>
      <c r="D119" s="3">
        <f>CONCATENATE("[[",B119,"]]")</f>
        <v/>
      </c>
      <c r="E119" s="4" t="n">
        <v>329176</v>
      </c>
      <c r="F119" s="4" t="n">
        <v>21000000</v>
      </c>
      <c r="G119" s="4" t="n">
        <v>19571</v>
      </c>
      <c r="H119" s="5">
        <f>COUNT(E119:G119)</f>
        <v/>
      </c>
      <c r="I119" s="4">
        <f>IF(OR(F119="",G119=""),"",F119*G119)</f>
        <v/>
      </c>
      <c r="J119" s="6">
        <f>IF(OR(E119="",F119=""),"",F119/E119)</f>
        <v/>
      </c>
      <c r="K119" s="3" t="n"/>
      <c r="L119" s="3" t="n"/>
      <c r="M119" s="3" t="inlineStr">
        <is>
          <t>Verraine</t>
        </is>
      </c>
      <c r="N119" s="3" t="inlineStr">
        <is>
          <t>Verraine</t>
        </is>
      </c>
      <c r="O119" s="100" t="inlineStr">
        <is>
          <t>#a98702</t>
        </is>
      </c>
      <c r="P119" s="3" t="inlineStr">
        <is>
          <t>yes</t>
        </is>
      </c>
      <c r="Q119" s="4" t="n">
        <v>739093</v>
      </c>
      <c r="R119" s="3" t="inlineStr">
        <is>
          <t>capital</t>
        </is>
      </c>
      <c r="S119" s="3" t="n"/>
    </row>
    <row r="120">
      <c r="A120" s="3" t="inlineStr">
        <is>
          <t>Volhynia</t>
        </is>
      </c>
      <c r="B120" s="3" t="inlineStr">
        <is>
          <t>Prykarpattia</t>
        </is>
      </c>
      <c r="C120" s="3">
        <f>CONCATENATE("{{flag|",A120,"}}")</f>
        <v/>
      </c>
      <c r="D120" s="3">
        <f>CONCATENATE("[[",B120,"]]")</f>
        <v/>
      </c>
      <c r="E120" s="4" t="n">
        <v>94330</v>
      </c>
      <c r="F120" s="4" t="n">
        <v>12400000</v>
      </c>
      <c r="G120" s="4" t="n">
        <v>23200</v>
      </c>
      <c r="H120" s="5">
        <f>COUNT(E120:G120)</f>
        <v/>
      </c>
      <c r="I120" s="4">
        <f>IF(OR(F120="",G120=""),"",F120*G120)</f>
        <v/>
      </c>
      <c r="J120" s="6">
        <f>IF(OR(E120="",F120=""),"",F120/E120)</f>
        <v/>
      </c>
      <c r="K120" s="3" t="n"/>
      <c r="L120" s="3" t="n"/>
      <c r="M120" s="3" t="inlineStr">
        <is>
          <t>Volhynia</t>
        </is>
      </c>
      <c r="N120" s="3" t="inlineStr">
        <is>
          <t>Volhynia</t>
        </is>
      </c>
      <c r="O120" s="101" t="inlineStr">
        <is>
          <t>#ce182a</t>
        </is>
      </c>
      <c r="P120" s="3" t="inlineStr">
        <is>
          <t>yes</t>
        </is>
      </c>
      <c r="Q120" s="4" t="n"/>
      <c r="R120" s="3" t="inlineStr">
        <is>
          <t>capital</t>
        </is>
      </c>
      <c r="S120" s="3" t="n"/>
    </row>
    <row r="121">
      <c r="A121" s="3" t="inlineStr">
        <is>
          <t>Volsci</t>
        </is>
      </c>
      <c r="B121" s="3" t="inlineStr">
        <is>
          <t>Antium</t>
        </is>
      </c>
      <c r="C121" s="3">
        <f>CONCATENATE("{{flag|",A121,"}}")</f>
        <v/>
      </c>
      <c r="D121" s="3">
        <f>CONCATENATE("[[",B121,"]]")</f>
        <v/>
      </c>
      <c r="E121" s="4" t="n">
        <v>1099762</v>
      </c>
      <c r="F121" s="4" t="n">
        <v>146520000</v>
      </c>
      <c r="G121" s="4" t="n">
        <v>9001</v>
      </c>
      <c r="H121" s="5">
        <f>COUNT(E121:G121)</f>
        <v/>
      </c>
      <c r="I121" s="4">
        <f>IF(OR(F121="",G121=""),"",F121*G121)</f>
        <v/>
      </c>
      <c r="J121" s="6">
        <f>IF(OR(E121="",F121=""),"",F121/E121)</f>
        <v/>
      </c>
      <c r="K121" s="3" t="n"/>
      <c r="L121" s="3" t="n"/>
      <c r="M121" s="3" t="inlineStr">
        <is>
          <t>Volsci</t>
        </is>
      </c>
      <c r="N121" s="3" t="inlineStr">
        <is>
          <t>Volsci</t>
        </is>
      </c>
      <c r="O121" s="102" t="inlineStr">
        <is>
          <t>#370000</t>
        </is>
      </c>
      <c r="P121" s="3" t="inlineStr">
        <is>
          <t>yes</t>
        </is>
      </c>
      <c r="Q121" s="4" t="n"/>
      <c r="R121" s="3" t="inlineStr">
        <is>
          <t>capital, population, gdppc, landArea</t>
        </is>
      </c>
      <c r="S121" s="3" t="n"/>
    </row>
    <row r="122">
      <c r="A122" s="3" t="inlineStr">
        <is>
          <t>Vosarkia</t>
        </is>
      </c>
      <c r="B122" s="3" t="inlineStr">
        <is>
          <t>Ṡarsmēra</t>
        </is>
      </c>
      <c r="C122" s="3">
        <f>CONCATENATE("{{flag|",A122,"}}")</f>
        <v/>
      </c>
      <c r="D122" s="3">
        <f>CONCATENATE("[[",B122,"]]")</f>
        <v/>
      </c>
      <c r="E122" s="4" t="n">
        <v>320199</v>
      </c>
      <c r="F122" s="4" t="n">
        <v>12315438</v>
      </c>
      <c r="G122" s="4" t="n">
        <v>26916</v>
      </c>
      <c r="H122" s="5">
        <f>COUNT(E122:G122)</f>
        <v/>
      </c>
      <c r="I122" s="4">
        <f>IF(OR(F122="",G122=""),"",F122*G122)</f>
        <v/>
      </c>
      <c r="J122" s="6">
        <f>IF(OR(E122="",F122=""),"",F122/E122)</f>
        <v/>
      </c>
      <c r="K122" s="3" t="n"/>
      <c r="L122" s="3" t="n"/>
      <c r="M122" s="3" t="inlineStr">
        <is>
          <t>Vosarkia</t>
        </is>
      </c>
      <c r="N122" s="3" t="inlineStr">
        <is>
          <t>Vosarkia</t>
        </is>
      </c>
      <c r="O122" s="3" t="n"/>
      <c r="P122" s="3" t="inlineStr">
        <is>
          <t>no</t>
        </is>
      </c>
      <c r="Q122" s="4" t="n"/>
      <c r="R122" s="3" t="inlineStr">
        <is>
          <t>capital, population, gdppc, landArea</t>
        </is>
      </c>
      <c r="S122" s="3" t="n"/>
    </row>
    <row r="123">
      <c r="A123" s="3" t="inlineStr">
        <is>
          <t>Welkija</t>
        </is>
      </c>
      <c r="B123" s="3" t="inlineStr">
        <is>
          <t>Nowostolicna</t>
        </is>
      </c>
      <c r="C123" s="3">
        <f>CONCATENATE("{{flag|",A123,"}}")</f>
        <v/>
      </c>
      <c r="D123" s="3">
        <f>CONCATENATE("[[",B123,"]]")</f>
        <v/>
      </c>
      <c r="E123" s="4" t="n">
        <v>650000</v>
      </c>
      <c r="F123" s="4" t="n">
        <v>40000000</v>
      </c>
      <c r="G123" s="4" t="n">
        <v>26000</v>
      </c>
      <c r="H123" s="5">
        <f>COUNT(E123:G123)</f>
        <v/>
      </c>
      <c r="I123" s="4">
        <f>IF(OR(F123="",G123=""),"",F123*G123)</f>
        <v/>
      </c>
      <c r="J123" s="6">
        <f>IF(OR(E123="",F123=""),"",F123/E123)</f>
        <v/>
      </c>
      <c r="K123" s="3" t="n"/>
      <c r="L123" s="3" t="n"/>
      <c r="M123" s="3" t="inlineStr">
        <is>
          <t>Welkija</t>
        </is>
      </c>
      <c r="N123" s="3" t="inlineStr">
        <is>
          <t>Socialist Commonwealth of Welkija</t>
        </is>
      </c>
      <c r="O123" s="103" t="inlineStr">
        <is>
          <t>#417745</t>
        </is>
      </c>
      <c r="P123" s="3" t="inlineStr">
        <is>
          <t>yes</t>
        </is>
      </c>
      <c r="Q123" s="4" t="n"/>
      <c r="R123" s="3" t="n"/>
      <c r="S123" s="3" t="n"/>
    </row>
    <row r="124">
      <c r="A124" s="3" t="inlineStr">
        <is>
          <t>West Anglia</t>
        </is>
      </c>
      <c r="B124" s="3" t="inlineStr">
        <is>
          <t>Plough</t>
        </is>
      </c>
      <c r="C124" s="3">
        <f>CONCATENATE("{{flag|",A124,"}}")</f>
        <v/>
      </c>
      <c r="D124" s="3">
        <f>CONCATENATE("[[",B124,"]]")</f>
        <v/>
      </c>
      <c r="E124" s="4" t="n">
        <v>620828</v>
      </c>
      <c r="F124" s="4" t="n">
        <v>27354000</v>
      </c>
      <c r="G124" s="4" t="n">
        <v>31880</v>
      </c>
      <c r="H124" s="5">
        <f>COUNT(E124:G124)</f>
        <v/>
      </c>
      <c r="I124" s="4">
        <f>IF(OR(F124="",G124=""),"",F124*G124)</f>
        <v/>
      </c>
      <c r="J124" s="6">
        <f>IF(OR(E124="",F124=""),"",F124/E124)</f>
        <v/>
      </c>
      <c r="K124" s="3" t="n"/>
      <c r="L124" s="3" t="n"/>
      <c r="M124" s="3" t="inlineStr">
        <is>
          <t>West-Anglia</t>
        </is>
      </c>
      <c r="N124" s="3" t="inlineStr">
        <is>
          <t>West Anglia</t>
        </is>
      </c>
      <c r="O124" s="104" t="inlineStr">
        <is>
          <t>#146590</t>
        </is>
      </c>
      <c r="P124" s="3" t="inlineStr">
        <is>
          <t>yes</t>
        </is>
      </c>
      <c r="Q124" s="4" t="n"/>
      <c r="R124" s="3" t="inlineStr">
        <is>
          <t>capital, population, gdppc, landArea</t>
        </is>
      </c>
      <c r="S124" s="3" t="n"/>
    </row>
    <row r="125">
      <c r="A125" s="3" t="inlineStr">
        <is>
          <t>Westland</t>
        </is>
      </c>
      <c r="B125" s="3" t="inlineStr">
        <is>
          <t>Ballylomasna</t>
        </is>
      </c>
      <c r="C125" s="3">
        <f>CONCATENATE("{{flag|",A125,"}}")</f>
        <v/>
      </c>
      <c r="D125" s="3">
        <f>CONCATENATE("[[",B125,"]]")</f>
        <v/>
      </c>
      <c r="E125" s="4" t="n"/>
      <c r="F125" s="4" t="n"/>
      <c r="G125" s="4" t="n"/>
      <c r="H125" s="5">
        <f>COUNT(E125:G125)</f>
        <v/>
      </c>
      <c r="I125" s="4">
        <f>IF(OR(F125="",G125=""),"",F125*G125)</f>
        <v/>
      </c>
      <c r="J125" s="6">
        <f>IF(OR(E125="",F125=""),"",F125/E125)</f>
        <v/>
      </c>
      <c r="K125" s="3" t="n"/>
      <c r="L125" s="3" t="n"/>
      <c r="M125" s="3" t="inlineStr">
        <is>
          <t>Westland</t>
        </is>
      </c>
      <c r="N125" s="3" t="inlineStr">
        <is>
          <t>Westland</t>
        </is>
      </c>
      <c r="O125" s="105" t="inlineStr">
        <is>
          <t>#f2a800</t>
        </is>
      </c>
      <c r="P125" s="3" t="inlineStr">
        <is>
          <t>yes</t>
        </is>
      </c>
      <c r="Q125" s="4" t="n"/>
      <c r="R125" s="3" t="n"/>
      <c r="S125" s="3" t="n"/>
    </row>
    <row r="126">
      <c r="A126" s="3" t="inlineStr">
        <is>
          <t>Yien</t>
        </is>
      </c>
      <c r="B126" s="3" t="inlineStr">
        <is>
          <t>Wëngabiook</t>
        </is>
      </c>
      <c r="C126" s="3">
        <f>CONCATENATE("{{flag|",A126,"}}")</f>
        <v/>
      </c>
      <c r="D126" s="3">
        <f>CONCATENATE("[[",B126,"]]")</f>
        <v/>
      </c>
      <c r="E126" s="4" t="n">
        <v>380079</v>
      </c>
      <c r="F126" s="4" t="n">
        <v>6220000</v>
      </c>
      <c r="G126" s="4" t="n"/>
      <c r="H126" s="5">
        <f>COUNT(E126:G126)</f>
        <v/>
      </c>
      <c r="I126" s="4">
        <f>IF(OR(F126="",G126=""),"",F126*G126)</f>
        <v/>
      </c>
      <c r="J126" s="6">
        <f>IF(OR(E126="",F126=""),"",F126/E126)</f>
        <v/>
      </c>
      <c r="K126" s="3" t="n"/>
      <c r="L126" s="3" t="n"/>
      <c r="M126" s="3" t="inlineStr">
        <is>
          <t>Yien</t>
        </is>
      </c>
      <c r="N126" s="3" t="inlineStr">
        <is>
          <t>Yien</t>
        </is>
      </c>
      <c r="O126" s="106" t="inlineStr">
        <is>
          <t>#008b2e</t>
        </is>
      </c>
      <c r="P126" s="3" t="inlineStr">
        <is>
          <t>yes</t>
        </is>
      </c>
      <c r="Q126" s="4" t="n"/>
      <c r="R126" s="3" t="inlineStr">
        <is>
          <t>capital, population, landArea</t>
        </is>
      </c>
      <c r="S126" s="3" t="n"/>
    </row>
    <row r="127">
      <c r="A127" s="3" t="inlineStr">
        <is>
          <t>Ymutz Mizlan</t>
        </is>
      </c>
      <c r="B127" s="3" t="inlineStr">
        <is>
          <t>Ferrescan</t>
        </is>
      </c>
      <c r="C127" s="3">
        <f>CONCATENATE("{{flag|",A127,"}}")</f>
        <v/>
      </c>
      <c r="D127" s="3">
        <f>CONCATENATE("[[",B127,"]]")</f>
        <v/>
      </c>
      <c r="E127" s="4" t="n">
        <v>645100</v>
      </c>
      <c r="F127" s="4" t="n">
        <v>60000000</v>
      </c>
      <c r="G127" s="4" t="n">
        <v>15000</v>
      </c>
      <c r="H127" s="5">
        <f>COUNT(E127:G127)</f>
        <v/>
      </c>
      <c r="I127" s="4">
        <f>IF(OR(F127="",G127=""),"",F127*G127)</f>
        <v/>
      </c>
      <c r="J127" s="6">
        <f>IF(OR(E127="",F127=""),"",F127/E127)</f>
        <v/>
      </c>
      <c r="K127" s="3" t="n"/>
      <c r="L127" s="3" t="n"/>
      <c r="M127" s="3" t="inlineStr">
        <is>
          <t>Ymutz-Mizlan</t>
        </is>
      </c>
      <c r="N127" s="3" t="inlineStr">
        <is>
          <t>Ymutz Mizlan</t>
        </is>
      </c>
      <c r="O127" s="107" t="inlineStr">
        <is>
          <t>#23672c</t>
        </is>
      </c>
      <c r="P127" s="3" t="inlineStr">
        <is>
          <t>yes</t>
        </is>
      </c>
      <c r="Q127" s="4" t="n"/>
      <c r="R127" s="3" t="inlineStr">
        <is>
          <t>capital</t>
        </is>
      </c>
      <c r="S127" s="3" t="n"/>
    </row>
    <row r="128">
      <c r="A128" s="3" t="inlineStr">
        <is>
          <t>Yuropa</t>
        </is>
      </c>
      <c r="B128" s="3" t="inlineStr">
        <is>
          <t>Centridge City</t>
        </is>
      </c>
      <c r="C128" s="3">
        <f>CONCATENATE("{{flag|",A128,"}}")</f>
        <v/>
      </c>
      <c r="D128" s="3">
        <f>CONCATENATE("[[",B128,"]]")</f>
        <v/>
      </c>
      <c r="E128" s="4" t="n">
        <v>569161</v>
      </c>
      <c r="F128" s="4" t="n">
        <v>61600000</v>
      </c>
      <c r="G128" s="4" t="n">
        <v>4545</v>
      </c>
      <c r="H128" s="5">
        <f>COUNT(E128:G128)</f>
        <v/>
      </c>
      <c r="I128" s="4">
        <f>IF(OR(F128="",G128=""),"",F128*G128)</f>
        <v/>
      </c>
      <c r="J128" s="6">
        <f>IF(OR(E128="",F128=""),"",F128/E128)</f>
        <v/>
      </c>
      <c r="K128" s="3" t="n"/>
      <c r="L128" s="3" t="n"/>
      <c r="M128" s="3" t="inlineStr">
        <is>
          <t>Yuropa</t>
        </is>
      </c>
      <c r="N128" s="3" t="inlineStr">
        <is>
          <t>Yuropa</t>
        </is>
      </c>
      <c r="O128" s="108" t="inlineStr">
        <is>
          <t>#eb934e</t>
        </is>
      </c>
      <c r="P128" s="3" t="inlineStr">
        <is>
          <t>yes</t>
        </is>
      </c>
      <c r="Q128" s="4" t="n"/>
      <c r="R128" s="3" t="inlineStr">
        <is>
          <t>capital, population, gdppc, landArea</t>
        </is>
      </c>
      <c r="S128" s="3" t="n"/>
    </row>
    <row r="129">
      <c r="A129" s="3" t="inlineStr">
        <is>
          <t>Zekistan</t>
        </is>
      </c>
      <c r="B129" s="3" t="inlineStr">
        <is>
          <t>Manzarabad</t>
        </is>
      </c>
      <c r="C129" s="3">
        <f>CONCATENATE("{{flag|",A129,"}}")</f>
        <v/>
      </c>
      <c r="D129" s="3">
        <f>CONCATENATE("[[",B129,"]]")</f>
        <v/>
      </c>
      <c r="E129" s="4" t="n">
        <v>122176</v>
      </c>
      <c r="F129" s="4" t="n">
        <v>12000000</v>
      </c>
      <c r="G129" s="4" t="n">
        <v>8000</v>
      </c>
      <c r="H129" s="5">
        <f>COUNT(E129:G129)</f>
        <v/>
      </c>
      <c r="I129" s="4">
        <f>IF(OR(F129="",G129=""),"",F129*G129)</f>
        <v/>
      </c>
      <c r="J129" s="6">
        <f>IF(OR(E129="",F129=""),"",F129/E129)</f>
        <v/>
      </c>
      <c r="K129" s="3" t="n"/>
      <c r="L129" s="3" t="n"/>
      <c r="M129" s="3" t="inlineStr">
        <is>
          <t>Zekistan</t>
        </is>
      </c>
      <c r="N129" s="3" t="inlineStr">
        <is>
          <t>Zekistan</t>
        </is>
      </c>
      <c r="O129" s="109" t="inlineStr">
        <is>
          <t>#5d8d10</t>
        </is>
      </c>
      <c r="P129" s="3" t="inlineStr">
        <is>
          <t>yes</t>
        </is>
      </c>
      <c r="Q129" s="4" t="n"/>
      <c r="R129" s="3" t="inlineStr">
        <is>
          <t>capital, population, gdppc, landArea</t>
        </is>
      </c>
      <c r="S129" s="3" t="n"/>
    </row>
    <row r="130">
      <c r="A130" s="3" t="inlineStr">
        <is>
          <t>Zuydland</t>
        </is>
      </c>
      <c r="B130" s="3" t="inlineStr">
        <is>
          <t>Fort Leeuwendael</t>
        </is>
      </c>
      <c r="C130" s="3">
        <f>CONCATENATE("{{flag|",A130,"}}")</f>
        <v/>
      </c>
      <c r="D130" s="3">
        <f>CONCATENATE("[[",B130,"]]")</f>
        <v/>
      </c>
      <c r="E130" s="4" t="n">
        <v>245000</v>
      </c>
      <c r="F130" s="4" t="n">
        <v>22400000</v>
      </c>
      <c r="G130" s="4" t="n">
        <v>18600</v>
      </c>
      <c r="H130" s="5">
        <f>COUNT(E130:G130)</f>
        <v/>
      </c>
      <c r="I130" s="4">
        <f>IF(OR(F130="",G130=""),"",F130*G130)</f>
        <v/>
      </c>
      <c r="J130" s="6">
        <f>IF(OR(E130="",F130=""),"",F130/E130)</f>
        <v/>
      </c>
      <c r="K130" s="3" t="n"/>
      <c r="L130" s="3" t="n"/>
      <c r="M130" s="3" t="inlineStr">
        <is>
          <t>Zuydland</t>
        </is>
      </c>
      <c r="N130" s="3" t="inlineStr">
        <is>
          <t>Zuydland</t>
        </is>
      </c>
      <c r="O130" s="110" t="inlineStr">
        <is>
          <t>#ff7d07</t>
        </is>
      </c>
      <c r="P130" s="3" t="inlineStr">
        <is>
          <t>yes</t>
        </is>
      </c>
      <c r="Q130" s="4" t="n"/>
      <c r="R130" s="3" t="inlineStr">
        <is>
          <t>capital, population, gdppc, landArea</t>
        </is>
      </c>
      <c r="S130" s="3" t="n"/>
    </row>
    <row r="132">
      <c r="A132" s="2" t="inlineStr">
        <is>
          <t>Source: eurth-map/src/data/nations.js. Columns A-L follow the Countries of Eurth tab (same formulas in C, D, H, I, J). IIWiki bytes and Main contributor are not tracked by the map. "Area shown on map" is the traced area the app displays instead of the stated one for the nations in map-area-nations.json.</t>
        </is>
      </c>
    </row>
  </sheetData>
  <autoFilter ref="A1:S130"/>
  <conditionalFormatting sqref="H2:H130">
    <cfRule type="colorScale" priority="1">
      <colorScale>
        <cfvo type="min"/>
        <cfvo type="max"/>
        <color rgb="FFE67C73"/>
        <color rgb="FFFFFFFF"/>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45"/>
  <sheetViews>
    <sheetView workbookViewId="0">
      <pane xSplit="1" ySplit="15" topLeftCell="B16"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18" customWidth="1" min="3" max="3"/>
    <col width="8" customWidth="1" min="4" max="4"/>
    <col width="10" customWidth="1" min="5" max="5"/>
    <col width="16" customWidth="1" min="6" max="6"/>
    <col width="16" customWidth="1" min="7" max="7"/>
    <col width="12" customWidth="1" min="8" max="8"/>
    <col width="16" customWidth="1" min="9" max="9"/>
    <col width="16" customWidth="1" min="10" max="10"/>
    <col width="12" customWidth="1" min="11" max="11"/>
    <col width="12" customWidth="1" min="12" max="12"/>
    <col width="8" customWidth="1" min="13" max="13"/>
    <col width="16" customWidth="1" min="14" max="14"/>
    <col width="16" customWidth="1" min="15" max="15"/>
    <col width="12" customWidth="1" min="16" max="16"/>
    <col width="12" customWidth="1" min="17" max="17"/>
    <col width="8" customWidth="1" min="18" max="18"/>
    <col width="16" customWidth="1" min="19" max="19"/>
    <col width="16" customWidth="1" min="20" max="20"/>
    <col width="12" customWidth="1" min="21" max="21"/>
    <col width="12" customWidth="1" min="22" max="22"/>
    <col width="8" customWidth="1" min="23" max="23"/>
  </cols>
  <sheetData>
    <row r="1">
      <c r="A1" s="111" t="inlineStr">
        <is>
          <t>Countries of Eurth (Google Sheet) vs Map data (nations.js)</t>
        </is>
      </c>
    </row>
    <row r="2">
      <c r="A2" s="3" t="inlineStr">
        <is>
          <t>Nations in both</t>
        </is>
      </c>
      <c r="B2" s="3" t="n">
        <v>106</v>
      </c>
    </row>
    <row r="3">
      <c r="A3" s="3" t="inlineStr">
        <is>
          <t xml:space="preserve">   with at least one difference</t>
        </is>
      </c>
      <c r="B3" s="3" t="n">
        <v>34</v>
      </c>
    </row>
    <row r="4">
      <c r="A4" s="3" t="inlineStr">
        <is>
          <t xml:space="preserve">   identical</t>
        </is>
      </c>
      <c r="B4" s="3" t="n">
        <v>72</v>
      </c>
    </row>
    <row r="5">
      <c r="A5" s="3" t="inlineStr">
        <is>
          <t>Only in the Google Sheet</t>
        </is>
      </c>
      <c r="B5" s="3" t="n">
        <v>1</v>
      </c>
    </row>
    <row r="6">
      <c r="A6" s="3" t="inlineStr">
        <is>
          <t>Only on the map</t>
        </is>
      </c>
      <c r="B6" s="3" t="n">
        <v>23</v>
      </c>
    </row>
    <row r="7">
      <c r="A7" s="3" t="inlineStr">
        <is>
          <t>Capital: nations that differ</t>
        </is>
      </c>
      <c r="B7" s="3" t="n">
        <v>4</v>
      </c>
    </row>
    <row r="8">
      <c r="A8" s="3" t="inlineStr">
        <is>
          <t>Area (km2): nations that differ</t>
        </is>
      </c>
      <c r="B8" s="3" t="n">
        <v>20</v>
      </c>
    </row>
    <row r="9">
      <c r="A9" s="3" t="inlineStr">
        <is>
          <t>Population: nations that differ</t>
        </is>
      </c>
      <c r="B9" s="3" t="n">
        <v>30</v>
      </c>
    </row>
    <row r="10">
      <c r="A10" s="3" t="inlineStr">
        <is>
          <t>GDPPC: nations that differ</t>
        </is>
      </c>
      <c r="B10" s="3" t="n">
        <v>27</v>
      </c>
    </row>
    <row r="12">
      <c r="A12" s="112" t="inlineStr">
        <is>
          <t>values differ</t>
        </is>
      </c>
      <c r="C12" s="113" t="inlineStr">
        <is>
          <t>only one side has a value</t>
        </is>
      </c>
      <c r="E12" s="114" t="inlineStr">
        <is>
          <t>same</t>
        </is>
      </c>
      <c r="G12" s="115" t="inlineStr">
        <is>
          <t>nation is on one side only</t>
        </is>
      </c>
    </row>
    <row r="13">
      <c r="A13" s="2" t="inlineStr">
        <is>
          <t>Rows: nations in both, most differences first; then sheet-only; then map-only. Numbers compared to the nearest whole unit (the sheet stores unrounded areas); capitals compared ignoring case and surrounding spaces. Delta and % are map minus sheet, relative to the sheet. "Sheet row" is the row on the Countries of Eurth tab.</t>
        </is>
      </c>
    </row>
    <row r="15" ht="30" customHeight="1">
      <c r="A15" s="1" t="inlineStr">
        <is>
          <t>Country</t>
        </is>
      </c>
      <c r="B15" s="1" t="inlineStr">
        <is>
          <t>Key</t>
        </is>
      </c>
      <c r="C15" s="1" t="inlineStr">
        <is>
          <t>Status</t>
        </is>
      </c>
      <c r="D15" s="1" t="inlineStr">
        <is>
          <t>Sheet row</t>
        </is>
      </c>
      <c r="E15" s="1" t="inlineStr">
        <is>
          <t># differences</t>
        </is>
      </c>
      <c r="F15" s="1" t="inlineStr">
        <is>
          <t>Capital (sheet)</t>
        </is>
      </c>
      <c r="G15" s="1" t="inlineStr">
        <is>
          <t>Capital (map)</t>
        </is>
      </c>
      <c r="H15" s="1" t="inlineStr">
        <is>
          <t>Capital: result</t>
        </is>
      </c>
      <c r="I15" s="1" t="inlineStr">
        <is>
          <t>Area (km2) (sheet)</t>
        </is>
      </c>
      <c r="J15" s="1" t="inlineStr">
        <is>
          <t>Area (km2) (map)</t>
        </is>
      </c>
      <c r="K15" s="1" t="inlineStr">
        <is>
          <t>Area (km2): result</t>
        </is>
      </c>
      <c r="L15" s="1" t="inlineStr">
        <is>
          <t>Area (km2): delta</t>
        </is>
      </c>
      <c r="M15" s="1" t="inlineStr">
        <is>
          <t>Area (km2): %</t>
        </is>
      </c>
      <c r="N15" s="1" t="inlineStr">
        <is>
          <t>Population (sheet)</t>
        </is>
      </c>
      <c r="O15" s="1" t="inlineStr">
        <is>
          <t>Population (map)</t>
        </is>
      </c>
      <c r="P15" s="1" t="inlineStr">
        <is>
          <t>Population: result</t>
        </is>
      </c>
      <c r="Q15" s="1" t="inlineStr">
        <is>
          <t>Population: delta</t>
        </is>
      </c>
      <c r="R15" s="1" t="inlineStr">
        <is>
          <t>Population: %</t>
        </is>
      </c>
      <c r="S15" s="1" t="inlineStr">
        <is>
          <t>GDPPC (sheet)</t>
        </is>
      </c>
      <c r="T15" s="1" t="inlineStr">
        <is>
          <t>GDPPC (map)</t>
        </is>
      </c>
      <c r="U15" s="1" t="inlineStr">
        <is>
          <t>GDPPC: result</t>
        </is>
      </c>
      <c r="V15" s="1" t="inlineStr">
        <is>
          <t>GDPPC: delta</t>
        </is>
      </c>
      <c r="W15" s="1" t="inlineStr">
        <is>
          <t>GDPPC: %</t>
        </is>
      </c>
    </row>
    <row r="16">
      <c r="A16" s="3" t="inlineStr">
        <is>
          <t>Baltica</t>
        </is>
      </c>
      <c r="B16" s="3" t="inlineStr">
        <is>
          <t>Baltica</t>
        </is>
      </c>
      <c r="C16" s="3" t="inlineStr">
        <is>
          <t>Both</t>
        </is>
      </c>
      <c r="D16" s="5" t="n">
        <v>13</v>
      </c>
      <c r="E16" s="116" t="n">
        <v>4</v>
      </c>
      <c r="F16" s="112" t="inlineStr">
        <is>
          <t>Goja</t>
        </is>
      </c>
      <c r="G16" s="112" t="inlineStr">
        <is>
          <t>Kauni</t>
        </is>
      </c>
      <c r="H16" s="112" t="inlineStr">
        <is>
          <t>DIFFERENT</t>
        </is>
      </c>
      <c r="I16" s="117" t="n">
        <v>274628.61</v>
      </c>
      <c r="J16" s="118" t="n">
        <v>262000</v>
      </c>
      <c r="K16" s="112" t="inlineStr">
        <is>
          <t>DIFFERENT</t>
        </is>
      </c>
      <c r="L16" s="117" t="n">
        <v>-12628.60999999999</v>
      </c>
      <c r="M16" s="119" t="n">
        <v>-0.04598432042459082</v>
      </c>
      <c r="N16" s="118" t="n">
        <v>14800312</v>
      </c>
      <c r="O16" s="118" t="n">
        <v>28512444</v>
      </c>
      <c r="P16" s="112" t="inlineStr">
        <is>
          <t>DIFFERENT</t>
        </is>
      </c>
      <c r="Q16" s="118" t="n">
        <v>13712132</v>
      </c>
      <c r="R16" s="119" t="n">
        <v>0.9264758742923798</v>
      </c>
      <c r="S16" s="118" t="n">
        <v>11213</v>
      </c>
      <c r="T16" s="118" t="n">
        <v>11942</v>
      </c>
      <c r="U16" s="112" t="inlineStr">
        <is>
          <t>DIFFERENT</t>
        </is>
      </c>
      <c r="V16" s="118" t="n">
        <v>729</v>
      </c>
      <c r="W16" s="119" t="n">
        <v>0.06501382324088112</v>
      </c>
    </row>
    <row r="17">
      <c r="A17" s="3" t="inlineStr">
        <is>
          <t>Centennia Cardina</t>
        </is>
      </c>
      <c r="B17" s="3" t="inlineStr">
        <is>
          <t>Centennia-Cardina</t>
        </is>
      </c>
      <c r="C17" s="3" t="inlineStr">
        <is>
          <t>Both</t>
        </is>
      </c>
      <c r="D17" s="5" t="n">
        <v>16</v>
      </c>
      <c r="E17" s="116" t="n">
        <v>4</v>
      </c>
      <c r="F17" s="112" t="inlineStr">
        <is>
          <t>Verrone</t>
        </is>
      </c>
      <c r="G17" s="112" t="inlineStr">
        <is>
          <t>Verrone, the Stronghold City</t>
        </is>
      </c>
      <c r="H17" s="112" t="inlineStr">
        <is>
          <t>DIFFERENT</t>
        </is>
      </c>
      <c r="I17" s="118" t="n">
        <v>430708</v>
      </c>
      <c r="J17" s="118" t="n">
        <v>430000</v>
      </c>
      <c r="K17" s="112" t="inlineStr">
        <is>
          <t>DIFFERENT</t>
        </is>
      </c>
      <c r="L17" s="118" t="n">
        <v>-708</v>
      </c>
      <c r="M17" s="119" t="n">
        <v>-0.001643805083722615</v>
      </c>
      <c r="N17" s="118" t="n">
        <v>24540621</v>
      </c>
      <c r="O17" s="118" t="n">
        <v>34000000</v>
      </c>
      <c r="P17" s="112" t="inlineStr">
        <is>
          <t>DIFFERENT</t>
        </is>
      </c>
      <c r="Q17" s="118" t="n">
        <v>9459379</v>
      </c>
      <c r="R17" s="119" t="n">
        <v>0.385458012655833</v>
      </c>
      <c r="S17" s="118" t="n">
        <v>13000</v>
      </c>
      <c r="T17" s="118" t="n">
        <v>29500</v>
      </c>
      <c r="U17" s="112" t="inlineStr">
        <is>
          <t>DIFFERENT</t>
        </is>
      </c>
      <c r="V17" s="118" t="n">
        <v>16500</v>
      </c>
      <c r="W17" s="119" t="n">
        <v>1.269230769230769</v>
      </c>
    </row>
    <row r="18">
      <c r="A18" s="3" t="inlineStr">
        <is>
          <t>Welkija</t>
        </is>
      </c>
      <c r="B18" s="3" t="inlineStr">
        <is>
          <t>Welkija</t>
        </is>
      </c>
      <c r="C18" s="3" t="inlineStr">
        <is>
          <t>Both</t>
        </is>
      </c>
      <c r="D18" s="5" t="n">
        <v>102</v>
      </c>
      <c r="E18" s="116" t="n">
        <v>4</v>
      </c>
      <c r="F18" s="112" t="inlineStr">
        <is>
          <t>Nowa Huta</t>
        </is>
      </c>
      <c r="G18" s="112" t="inlineStr">
        <is>
          <t>Nowostolicna</t>
        </is>
      </c>
      <c r="H18" s="112" t="inlineStr">
        <is>
          <t>DIFFERENT</t>
        </is>
      </c>
      <c r="I18" s="118" t="n">
        <v>650602</v>
      </c>
      <c r="J18" s="118" t="n">
        <v>650000</v>
      </c>
      <c r="K18" s="112" t="inlineStr">
        <is>
          <t>DIFFERENT</t>
        </is>
      </c>
      <c r="L18" s="118" t="n">
        <v>-602</v>
      </c>
      <c r="M18" s="119" t="n">
        <v>-0.0009252968788906274</v>
      </c>
      <c r="N18" s="118" t="n">
        <v>14263654</v>
      </c>
      <c r="O18" s="118" t="n">
        <v>40000000</v>
      </c>
      <c r="P18" s="112" t="inlineStr">
        <is>
          <t>DIFFERENT</t>
        </is>
      </c>
      <c r="Q18" s="118" t="n">
        <v>25736346</v>
      </c>
      <c r="R18" s="119" t="n">
        <v>1.804330503249728</v>
      </c>
      <c r="S18" s="118" t="n">
        <v>14126</v>
      </c>
      <c r="T18" s="118" t="n">
        <v>26000</v>
      </c>
      <c r="U18" s="112" t="inlineStr">
        <is>
          <t>DIFFERENT</t>
        </is>
      </c>
      <c r="V18" s="118" t="n">
        <v>11874</v>
      </c>
      <c r="W18" s="119" t="n">
        <v>0.8405776582188872</v>
      </c>
    </row>
    <row r="19">
      <c r="A19" s="3" t="inlineStr">
        <is>
          <t>Ahrana</t>
        </is>
      </c>
      <c r="B19" s="3" t="inlineStr">
        <is>
          <t>Ahrana</t>
        </is>
      </c>
      <c r="C19" s="3" t="inlineStr">
        <is>
          <t>Both</t>
        </is>
      </c>
      <c r="D19" s="5" t="n">
        <v>5</v>
      </c>
      <c r="E19" s="116" t="n">
        <v>3</v>
      </c>
      <c r="F19" s="114" t="inlineStr">
        <is>
          <t>Moskovo</t>
        </is>
      </c>
      <c r="G19" s="114" t="inlineStr">
        <is>
          <t>Moskovo</t>
        </is>
      </c>
      <c r="H19" s="114" t="inlineStr">
        <is>
          <t>same</t>
        </is>
      </c>
      <c r="I19" s="117" t="n">
        <v>545650.22</v>
      </c>
      <c r="J19" s="118" t="n">
        <v>715000</v>
      </c>
      <c r="K19" s="112" t="inlineStr">
        <is>
          <t>DIFFERENT</t>
        </is>
      </c>
      <c r="L19" s="117" t="n">
        <v>169349.78</v>
      </c>
      <c r="M19" s="119" t="n">
        <v>0.310363257986041</v>
      </c>
      <c r="N19" s="118" t="n">
        <v>65900959</v>
      </c>
      <c r="O19" s="118" t="n">
        <v>100000000</v>
      </c>
      <c r="P19" s="112" t="inlineStr">
        <is>
          <t>DIFFERENT</t>
        </is>
      </c>
      <c r="Q19" s="118" t="n">
        <v>34099041</v>
      </c>
      <c r="R19" s="119" t="n">
        <v>0.5174286006976013</v>
      </c>
      <c r="S19" s="118" t="n">
        <v>5000</v>
      </c>
      <c r="T19" s="118" t="n">
        <v>19999</v>
      </c>
      <c r="U19" s="112" t="inlineStr">
        <is>
          <t>DIFFERENT</t>
        </is>
      </c>
      <c r="V19" s="118" t="n">
        <v>14999</v>
      </c>
      <c r="W19" s="119" t="n">
        <v>2.9998</v>
      </c>
    </row>
    <row r="20">
      <c r="A20" s="3" t="inlineStr">
        <is>
          <t>Arneland</t>
        </is>
      </c>
      <c r="B20" s="3" t="inlineStr">
        <is>
          <t>Arneland</t>
        </is>
      </c>
      <c r="C20" s="3" t="inlineStr">
        <is>
          <t>Both</t>
        </is>
      </c>
      <c r="D20" s="5" t="n">
        <v>9</v>
      </c>
      <c r="E20" s="116" t="n">
        <v>3</v>
      </c>
      <c r="F20" s="114" t="inlineStr">
        <is>
          <t>Port Pinella</t>
        </is>
      </c>
      <c r="G20" s="114" t="inlineStr">
        <is>
          <t>Port Pinella</t>
        </is>
      </c>
      <c r="H20" s="114" t="inlineStr">
        <is>
          <t>same</t>
        </is>
      </c>
      <c r="I20" s="117" t="n">
        <v>253169.67</v>
      </c>
      <c r="J20" s="118" t="n">
        <v>249000</v>
      </c>
      <c r="K20" s="112" t="inlineStr">
        <is>
          <t>DIFFERENT</t>
        </is>
      </c>
      <c r="L20" s="117" t="n">
        <v>-4169.669999999984</v>
      </c>
      <c r="M20" s="119" t="n">
        <v>-0.01646986386639436</v>
      </c>
      <c r="N20" s="118" t="n">
        <v>33535102</v>
      </c>
      <c r="O20" s="118" t="n">
        <v>42537851</v>
      </c>
      <c r="P20" s="112" t="inlineStr">
        <is>
          <t>DIFFERENT</t>
        </is>
      </c>
      <c r="Q20" s="118" t="n">
        <v>9002749</v>
      </c>
      <c r="R20" s="119" t="n">
        <v>0.2684574807615018</v>
      </c>
      <c r="S20" s="118" t="n">
        <v>18341</v>
      </c>
      <c r="T20" s="118" t="n">
        <v>28911</v>
      </c>
      <c r="U20" s="112" t="inlineStr">
        <is>
          <t>DIFFERENT</t>
        </is>
      </c>
      <c r="V20" s="118" t="n">
        <v>10570</v>
      </c>
      <c r="W20" s="119" t="n">
        <v>0.5763044545008451</v>
      </c>
    </row>
    <row r="21">
      <c r="A21" s="3" t="inlineStr">
        <is>
          <t>Aurora (Eurth)</t>
        </is>
      </c>
      <c r="B21" s="3" t="inlineStr">
        <is>
          <t>Aurora</t>
        </is>
      </c>
      <c r="C21" s="3" t="inlineStr">
        <is>
          <t>Both</t>
        </is>
      </c>
      <c r="D21" s="5" t="n">
        <v>10</v>
      </c>
      <c r="E21" s="116" t="n">
        <v>3</v>
      </c>
      <c r="F21" s="114" t="inlineStr">
        <is>
          <t>Tavares</t>
        </is>
      </c>
      <c r="G21" s="114" t="inlineStr">
        <is>
          <t>Tavares</t>
        </is>
      </c>
      <c r="H21" s="114" t="inlineStr">
        <is>
          <t>same</t>
        </is>
      </c>
      <c r="I21" s="118" t="n">
        <v>42346</v>
      </c>
      <c r="J21" s="118" t="n">
        <v>91636</v>
      </c>
      <c r="K21" s="112" t="inlineStr">
        <is>
          <t>DIFFERENT</t>
        </is>
      </c>
      <c r="L21" s="118" t="n">
        <v>49290</v>
      </c>
      <c r="M21" s="119" t="n">
        <v>1.16398243045388</v>
      </c>
      <c r="N21" s="118" t="n">
        <v>14650803</v>
      </c>
      <c r="O21" s="118" t="n">
        <v>42427468</v>
      </c>
      <c r="P21" s="112" t="inlineStr">
        <is>
          <t>DIFFERENT</t>
        </is>
      </c>
      <c r="Q21" s="118" t="n">
        <v>27776665</v>
      </c>
      <c r="R21" s="119" t="n">
        <v>1.895914169346213</v>
      </c>
      <c r="S21" s="118" t="n">
        <v>49956</v>
      </c>
      <c r="T21" s="118" t="n">
        <v>51005</v>
      </c>
      <c r="U21" s="112" t="inlineStr">
        <is>
          <t>DIFFERENT</t>
        </is>
      </c>
      <c r="V21" s="118" t="n">
        <v>1049</v>
      </c>
      <c r="W21" s="119" t="n">
        <v>0.02099847866122188</v>
      </c>
    </row>
    <row r="22">
      <c r="A22" s="3" t="inlineStr">
        <is>
          <t>Helsium</t>
        </is>
      </c>
      <c r="B22" s="3" t="inlineStr">
        <is>
          <t>Helsium</t>
        </is>
      </c>
      <c r="C22" s="3" t="inlineStr">
        <is>
          <t>Both</t>
        </is>
      </c>
      <c r="D22" s="5" t="n">
        <v>44</v>
      </c>
      <c r="E22" s="116" t="n">
        <v>3</v>
      </c>
      <c r="F22" s="114" t="inlineStr">
        <is>
          <t>Xarsetti</t>
        </is>
      </c>
      <c r="G22" s="114" t="inlineStr">
        <is>
          <t>Xarsetti</t>
        </is>
      </c>
      <c r="H22" s="114" t="inlineStr">
        <is>
          <t>same</t>
        </is>
      </c>
      <c r="I22" s="118" t="n">
        <v>249355</v>
      </c>
      <c r="J22" s="118" t="n">
        <v>250000</v>
      </c>
      <c r="K22" s="112" t="inlineStr">
        <is>
          <t>DIFFERENT</t>
        </is>
      </c>
      <c r="L22" s="118" t="n">
        <v>645</v>
      </c>
      <c r="M22" s="119" t="n">
        <v>0.00258667361793427</v>
      </c>
      <c r="N22" s="118" t="n">
        <v>14700000</v>
      </c>
      <c r="O22" s="118" t="n">
        <v>48700000</v>
      </c>
      <c r="P22" s="112" t="inlineStr">
        <is>
          <t>DIFFERENT</t>
        </is>
      </c>
      <c r="Q22" s="118" t="n">
        <v>34000000</v>
      </c>
      <c r="R22" s="119" t="n">
        <v>2.312925170068027</v>
      </c>
      <c r="S22" s="118" t="n">
        <v>48780</v>
      </c>
      <c r="T22" s="118" t="n">
        <v>59000</v>
      </c>
      <c r="U22" s="112" t="inlineStr">
        <is>
          <t>DIFFERENT</t>
        </is>
      </c>
      <c r="V22" s="118" t="n">
        <v>10220</v>
      </c>
      <c r="W22" s="119" t="n">
        <v>0.2095120951209512</v>
      </c>
    </row>
    <row r="23">
      <c r="A23" s="3" t="inlineStr">
        <is>
          <t>Iverica</t>
        </is>
      </c>
      <c r="B23" s="3" t="inlineStr">
        <is>
          <t>Iverica</t>
        </is>
      </c>
      <c r="C23" s="3" t="inlineStr">
        <is>
          <t>Both</t>
        </is>
      </c>
      <c r="D23" s="5" t="n">
        <v>48</v>
      </c>
      <c r="E23" s="116" t="n">
        <v>3</v>
      </c>
      <c r="F23" s="114" t="inlineStr">
        <is>
          <t>Intreimor</t>
        </is>
      </c>
      <c r="G23" s="114" t="inlineStr">
        <is>
          <t>Intreimor</t>
        </is>
      </c>
      <c r="H23" s="114" t="inlineStr">
        <is>
          <t>same</t>
        </is>
      </c>
      <c r="I23" s="118" t="n">
        <v>242744</v>
      </c>
      <c r="J23" s="118" t="n">
        <v>563257</v>
      </c>
      <c r="K23" s="112" t="inlineStr">
        <is>
          <t>DIFFERENT</t>
        </is>
      </c>
      <c r="L23" s="118" t="n">
        <v>320513</v>
      </c>
      <c r="M23" s="119" t="n">
        <v>1.320374550967274</v>
      </c>
      <c r="N23" s="118" t="n">
        <v>59651396</v>
      </c>
      <c r="O23" s="118" t="n">
        <v>152187090</v>
      </c>
      <c r="P23" s="112" t="inlineStr">
        <is>
          <t>DIFFERENT</t>
        </is>
      </c>
      <c r="Q23" s="118" t="n">
        <v>92535694</v>
      </c>
      <c r="R23" s="119" t="n">
        <v>1.551274575367859</v>
      </c>
      <c r="S23" s="118" t="n">
        <v>49890</v>
      </c>
      <c r="T23" s="118" t="n">
        <v>48532</v>
      </c>
      <c r="U23" s="112" t="inlineStr">
        <is>
          <t>DIFFERENT</t>
        </is>
      </c>
      <c r="V23" s="118" t="n">
        <v>-1358</v>
      </c>
      <c r="W23" s="119" t="n">
        <v>-0.02721988374423732</v>
      </c>
    </row>
    <row r="24">
      <c r="A24" s="3" t="inlineStr">
        <is>
          <t>Kirvina</t>
        </is>
      </c>
      <c r="B24" s="3" t="inlineStr">
        <is>
          <t>Kirvina</t>
        </is>
      </c>
      <c r="C24" s="3" t="inlineStr">
        <is>
          <t>Both</t>
        </is>
      </c>
      <c r="D24" s="5" t="n">
        <v>51</v>
      </c>
      <c r="E24" s="116" t="n">
        <v>3</v>
      </c>
      <c r="F24" s="114" t="inlineStr">
        <is>
          <t>Achilleia</t>
        </is>
      </c>
      <c r="G24" s="114" t="inlineStr">
        <is>
          <t>Achilleia</t>
        </is>
      </c>
      <c r="H24" s="114" t="inlineStr">
        <is>
          <t>same</t>
        </is>
      </c>
      <c r="I24" s="117" t="n">
        <v>40040.06</v>
      </c>
      <c r="J24" s="118" t="n">
        <v>180000</v>
      </c>
      <c r="K24" s="112" t="inlineStr">
        <is>
          <t>DIFFERENT</t>
        </is>
      </c>
      <c r="L24" s="117" t="n">
        <v>139959.94</v>
      </c>
      <c r="M24" s="119" t="n">
        <v>3.495497758994367</v>
      </c>
      <c r="N24" s="118" t="n">
        <v>34390000</v>
      </c>
      <c r="O24" s="118" t="n">
        <v>14003548</v>
      </c>
      <c r="P24" s="112" t="inlineStr">
        <is>
          <t>DIFFERENT</t>
        </is>
      </c>
      <c r="Q24" s="118" t="n">
        <v>-20386452</v>
      </c>
      <c r="R24" s="119" t="n">
        <v>-0.5928017446932248</v>
      </c>
      <c r="S24" s="118" t="n">
        <v>25788</v>
      </c>
      <c r="T24" s="118" t="n">
        <v>27788</v>
      </c>
      <c r="U24" s="112" t="inlineStr">
        <is>
          <t>DIFFERENT</t>
        </is>
      </c>
      <c r="V24" s="118" t="n">
        <v>2000</v>
      </c>
      <c r="W24" s="119" t="n">
        <v>0.07755545214828602</v>
      </c>
    </row>
    <row r="25">
      <c r="A25" s="3" t="inlineStr">
        <is>
          <t>Mikochi</t>
        </is>
      </c>
      <c r="B25" s="3" t="inlineStr">
        <is>
          <t>Mikochi</t>
        </is>
      </c>
      <c r="C25" s="3" t="inlineStr">
        <is>
          <t>Both</t>
        </is>
      </c>
      <c r="D25" s="5" t="n">
        <v>64</v>
      </c>
      <c r="E25" s="116" t="n">
        <v>3</v>
      </c>
      <c r="F25" s="114" t="inlineStr">
        <is>
          <t>Umikyo</t>
        </is>
      </c>
      <c r="G25" s="114" t="inlineStr">
        <is>
          <t>Umikyo</t>
        </is>
      </c>
      <c r="H25" s="114" t="inlineStr">
        <is>
          <t>same</t>
        </is>
      </c>
      <c r="I25" s="118" t="n">
        <v>76017</v>
      </c>
      <c r="J25" s="118" t="n">
        <v>192532</v>
      </c>
      <c r="K25" s="112" t="inlineStr">
        <is>
          <t>DIFFERENT</t>
        </is>
      </c>
      <c r="L25" s="118" t="n">
        <v>116515</v>
      </c>
      <c r="M25" s="119" t="n">
        <v>1.532749253456464</v>
      </c>
      <c r="N25" s="118" t="n">
        <v>25287241</v>
      </c>
      <c r="O25" s="118" t="n">
        <v>68291582</v>
      </c>
      <c r="P25" s="112" t="inlineStr">
        <is>
          <t>DIFFERENT</t>
        </is>
      </c>
      <c r="Q25" s="118" t="n">
        <v>43004341</v>
      </c>
      <c r="R25" s="119" t="n">
        <v>1.700633967936636</v>
      </c>
      <c r="S25" s="118" t="n">
        <v>28779</v>
      </c>
      <c r="T25" s="117" t="n">
        <v>38653.89</v>
      </c>
      <c r="U25" s="112" t="inlineStr">
        <is>
          <t>DIFFERENT</t>
        </is>
      </c>
      <c r="V25" s="117" t="n">
        <v>9874.889999999999</v>
      </c>
      <c r="W25" s="119" t="n">
        <v>0.3431283227353278</v>
      </c>
    </row>
    <row r="26">
      <c r="A26" s="3" t="inlineStr">
        <is>
          <t>Poja</t>
        </is>
      </c>
      <c r="B26" s="3" t="inlineStr">
        <is>
          <t>Poja</t>
        </is>
      </c>
      <c r="C26" s="3" t="inlineStr">
        <is>
          <t>Both</t>
        </is>
      </c>
      <c r="D26" s="5" t="n">
        <v>72</v>
      </c>
      <c r="E26" s="116" t="n">
        <v>3</v>
      </c>
      <c r="F26" s="114" t="inlineStr">
        <is>
          <t>Rugi</t>
        </is>
      </c>
      <c r="G26" s="114" t="inlineStr">
        <is>
          <t>Rugi</t>
        </is>
      </c>
      <c r="H26" s="114" t="inlineStr">
        <is>
          <t>same</t>
        </is>
      </c>
      <c r="I26" s="118" t="n">
        <v>340090</v>
      </c>
      <c r="J26" s="118" t="n">
        <v>504767</v>
      </c>
      <c r="K26" s="112" t="inlineStr">
        <is>
          <t>DIFFERENT</t>
        </is>
      </c>
      <c r="L26" s="118" t="n">
        <v>164677</v>
      </c>
      <c r="M26" s="119" t="n">
        <v>0.4842159428386604</v>
      </c>
      <c r="N26" s="118" t="n">
        <v>25813303</v>
      </c>
      <c r="O26" s="118" t="n">
        <v>69773930</v>
      </c>
      <c r="P26" s="112" t="inlineStr">
        <is>
          <t>DIFFERENT</t>
        </is>
      </c>
      <c r="Q26" s="118" t="n">
        <v>43960627</v>
      </c>
      <c r="R26" s="119" t="n">
        <v>1.703022158768291</v>
      </c>
      <c r="S26" s="118" t="n">
        <v>18360</v>
      </c>
      <c r="T26" s="118" t="n">
        <v>26901</v>
      </c>
      <c r="U26" s="112" t="inlineStr">
        <is>
          <t>DIFFERENT</t>
        </is>
      </c>
      <c r="V26" s="118" t="n">
        <v>8541</v>
      </c>
      <c r="W26" s="119" t="n">
        <v>0.4651960784313726</v>
      </c>
    </row>
    <row r="27">
      <c r="A27" s="3" t="inlineStr">
        <is>
          <t>Tagmatium</t>
        </is>
      </c>
      <c r="B27" s="3" t="inlineStr">
        <is>
          <t>Tagmatium</t>
        </is>
      </c>
      <c r="C27" s="3" t="inlineStr">
        <is>
          <t>Both</t>
        </is>
      </c>
      <c r="D27" s="5" t="n">
        <v>92</v>
      </c>
      <c r="E27" s="116" t="n">
        <v>3</v>
      </c>
      <c r="F27" s="114" t="inlineStr">
        <is>
          <t>Tagmatika</t>
        </is>
      </c>
      <c r="G27" s="114" t="inlineStr">
        <is>
          <t>Tagmatika</t>
        </is>
      </c>
      <c r="H27" s="114" t="inlineStr">
        <is>
          <t>same</t>
        </is>
      </c>
      <c r="I27" s="118" t="n">
        <v>1023597</v>
      </c>
      <c r="J27" s="118" t="n">
        <v>1499825</v>
      </c>
      <c r="K27" s="112" t="inlineStr">
        <is>
          <t>DIFFERENT</t>
        </is>
      </c>
      <c r="L27" s="118" t="n">
        <v>476228</v>
      </c>
      <c r="M27" s="119" t="n">
        <v>0.4652495073744843</v>
      </c>
      <c r="N27" s="118" t="n">
        <v>253491524</v>
      </c>
      <c r="O27" s="118" t="n">
        <v>274651624</v>
      </c>
      <c r="P27" s="112" t="inlineStr">
        <is>
          <t>DIFFERENT</t>
        </is>
      </c>
      <c r="Q27" s="118" t="n">
        <v>21160100</v>
      </c>
      <c r="R27" s="119" t="n">
        <v>0.08347458591948818</v>
      </c>
      <c r="S27" s="118" t="n">
        <v>21595</v>
      </c>
      <c r="T27" s="118" t="n">
        <v>37457</v>
      </c>
      <c r="U27" s="112" t="inlineStr">
        <is>
          <t>DIFFERENT</t>
        </is>
      </c>
      <c r="V27" s="118" t="n">
        <v>15862</v>
      </c>
      <c r="W27" s="119" t="n">
        <v>0.7345218800648298</v>
      </c>
    </row>
    <row r="28">
      <c r="A28" s="3" t="inlineStr">
        <is>
          <t>Volhynia</t>
        </is>
      </c>
      <c r="B28" s="3" t="inlineStr">
        <is>
          <t>Volhynia</t>
        </is>
      </c>
      <c r="C28" s="3" t="inlineStr">
        <is>
          <t>Both</t>
        </is>
      </c>
      <c r="D28" s="5" t="n">
        <v>99</v>
      </c>
      <c r="E28" s="116" t="n">
        <v>3</v>
      </c>
      <c r="F28" s="114" t="inlineStr">
        <is>
          <t>Prykarpattia</t>
        </is>
      </c>
      <c r="G28" s="114" t="inlineStr">
        <is>
          <t>Prykarpattia</t>
        </is>
      </c>
      <c r="H28" s="114" t="inlineStr">
        <is>
          <t>same</t>
        </is>
      </c>
      <c r="I28" s="118" t="n">
        <v>229900</v>
      </c>
      <c r="J28" s="118" t="n">
        <v>94330</v>
      </c>
      <c r="K28" s="112" t="inlineStr">
        <is>
          <t>DIFFERENT</t>
        </is>
      </c>
      <c r="L28" s="118" t="n">
        <v>-135570</v>
      </c>
      <c r="M28" s="119" t="n">
        <v>-0.5896911700739452</v>
      </c>
      <c r="N28" s="118" t="n">
        <v>16450000</v>
      </c>
      <c r="O28" s="118" t="n">
        <v>12400000</v>
      </c>
      <c r="P28" s="112" t="inlineStr">
        <is>
          <t>DIFFERENT</t>
        </is>
      </c>
      <c r="Q28" s="118" t="n">
        <v>-4050000</v>
      </c>
      <c r="R28" s="119" t="n">
        <v>-0.2462006079027356</v>
      </c>
      <c r="S28" s="118" t="n">
        <v>20000</v>
      </c>
      <c r="T28" s="118" t="n">
        <v>23200</v>
      </c>
      <c r="U28" s="112" t="inlineStr">
        <is>
          <t>DIFFERENT</t>
        </is>
      </c>
      <c r="V28" s="118" t="n">
        <v>3200</v>
      </c>
      <c r="W28" s="119" t="n">
        <v>0.16</v>
      </c>
    </row>
    <row r="29">
      <c r="A29" s="3" t="inlineStr">
        <is>
          <t>Aldace</t>
        </is>
      </c>
      <c r="B29" s="3" t="inlineStr">
        <is>
          <t>Aldace</t>
        </is>
      </c>
      <c r="C29" s="3" t="inlineStr">
        <is>
          <t>Both</t>
        </is>
      </c>
      <c r="D29" s="5" t="n">
        <v>6</v>
      </c>
      <c r="E29" s="116" t="n">
        <v>2</v>
      </c>
      <c r="F29" s="114" t="inlineStr">
        <is>
          <t>Sotheris</t>
        </is>
      </c>
      <c r="G29" s="114" t="inlineStr">
        <is>
          <t>Sotheris</t>
        </is>
      </c>
      <c r="H29" s="114" t="inlineStr">
        <is>
          <t>same</t>
        </is>
      </c>
      <c r="I29" s="120" t="n">
        <v>411365</v>
      </c>
      <c r="J29" s="120" t="n">
        <v>411365</v>
      </c>
      <c r="K29" s="114" t="inlineStr">
        <is>
          <t>same</t>
        </is>
      </c>
      <c r="L29" s="114" t="n"/>
      <c r="M29" s="121" t="n"/>
      <c r="N29" s="118" t="n">
        <v>22374652</v>
      </c>
      <c r="O29" s="118" t="n">
        <v>34642780</v>
      </c>
      <c r="P29" s="112" t="inlineStr">
        <is>
          <t>DIFFERENT</t>
        </is>
      </c>
      <c r="Q29" s="118" t="n">
        <v>12268128</v>
      </c>
      <c r="R29" s="119" t="n">
        <v>0.5483047512873049</v>
      </c>
      <c r="S29" s="118" t="n">
        <v>12564</v>
      </c>
      <c r="T29" s="118" t="n">
        <v>26532</v>
      </c>
      <c r="U29" s="112" t="inlineStr">
        <is>
          <t>DIFFERENT</t>
        </is>
      </c>
      <c r="V29" s="118" t="n">
        <v>13968</v>
      </c>
      <c r="W29" s="119" t="n">
        <v>1.111747851002865</v>
      </c>
    </row>
    <row r="30">
      <c r="A30" s="3" t="inlineStr">
        <is>
          <t>Charkov</t>
        </is>
      </c>
      <c r="B30" s="3" t="inlineStr">
        <is>
          <t>Charkov</t>
        </is>
      </c>
      <c r="C30" s="3" t="inlineStr">
        <is>
          <t>Both</t>
        </is>
      </c>
      <c r="D30" s="5" t="n">
        <v>17</v>
      </c>
      <c r="E30" s="116" t="n">
        <v>2</v>
      </c>
      <c r="F30" s="114" t="inlineStr">
        <is>
          <t>Kovchi</t>
        </is>
      </c>
      <c r="G30" s="114" t="inlineStr">
        <is>
          <t>Kovchi</t>
        </is>
      </c>
      <c r="H30" s="114" t="inlineStr">
        <is>
          <t>same</t>
        </is>
      </c>
      <c r="I30" s="117" t="n">
        <v>419517.31</v>
      </c>
      <c r="J30" s="118" t="n">
        <v>245000</v>
      </c>
      <c r="K30" s="112" t="inlineStr">
        <is>
          <t>DIFFERENT</t>
        </is>
      </c>
      <c r="L30" s="117" t="n">
        <v>-174517.31</v>
      </c>
      <c r="M30" s="119" t="n">
        <v>-0.4159954925340268</v>
      </c>
      <c r="N30" s="118" t="n">
        <v>22370000</v>
      </c>
      <c r="O30" s="118" t="n">
        <v>23378665</v>
      </c>
      <c r="P30" s="112" t="inlineStr">
        <is>
          <t>DIFFERENT</t>
        </is>
      </c>
      <c r="Q30" s="118" t="n">
        <v>1008665</v>
      </c>
      <c r="R30" s="119" t="n">
        <v>0.04509007599463567</v>
      </c>
      <c r="S30" s="120" t="n">
        <v>14407</v>
      </c>
      <c r="T30" s="120" t="n">
        <v>14407</v>
      </c>
      <c r="U30" s="114" t="inlineStr">
        <is>
          <t>same</t>
        </is>
      </c>
      <c r="V30" s="114" t="n"/>
      <c r="W30" s="121" t="n"/>
    </row>
    <row r="31">
      <c r="A31" s="3" t="inlineStr">
        <is>
          <t>Denawar</t>
        </is>
      </c>
      <c r="B31" s="3" t="inlineStr">
        <is>
          <t>Denawar</t>
        </is>
      </c>
      <c r="C31" s="3" t="inlineStr">
        <is>
          <t>Both</t>
        </is>
      </c>
      <c r="D31" s="5" t="n">
        <v>22</v>
      </c>
      <c r="E31" s="116" t="n">
        <v>2</v>
      </c>
      <c r="F31" s="114" t="inlineStr">
        <is>
          <t>Nanggan</t>
        </is>
      </c>
      <c r="G31" s="114" t="inlineStr">
        <is>
          <t>Nanggan</t>
        </is>
      </c>
      <c r="H31" s="114" t="inlineStr">
        <is>
          <t>same</t>
        </is>
      </c>
      <c r="I31" s="122" t="n">
        <v>171448.23</v>
      </c>
      <c r="J31" s="122" t="n">
        <v>171448.23</v>
      </c>
      <c r="K31" s="114" t="inlineStr">
        <is>
          <t>same</t>
        </is>
      </c>
      <c r="L31" s="114" t="n"/>
      <c r="M31" s="121" t="n"/>
      <c r="N31" s="118" t="n">
        <v>21546774</v>
      </c>
      <c r="O31" s="118" t="n">
        <v>31546774</v>
      </c>
      <c r="P31" s="112" t="inlineStr">
        <is>
          <t>DIFFERENT</t>
        </is>
      </c>
      <c r="Q31" s="118" t="n">
        <v>10000000</v>
      </c>
      <c r="R31" s="119" t="n">
        <v>0.4641065989739346</v>
      </c>
      <c r="S31" s="118" t="n">
        <v>23700</v>
      </c>
      <c r="T31" s="118" t="n">
        <v>23750</v>
      </c>
      <c r="U31" s="112" t="inlineStr">
        <is>
          <t>DIFFERENT</t>
        </is>
      </c>
      <c r="V31" s="118" t="n">
        <v>50</v>
      </c>
      <c r="W31" s="119" t="n">
        <v>0.002109704641350211</v>
      </c>
    </row>
    <row r="32">
      <c r="A32" s="3" t="inlineStr">
        <is>
          <t>Eemsmerschen</t>
        </is>
      </c>
      <c r="B32" s="3" t="inlineStr">
        <is>
          <t>Eemsmerschen</t>
        </is>
      </c>
      <c r="C32" s="3" t="inlineStr">
        <is>
          <t>Both</t>
        </is>
      </c>
      <c r="D32" s="5" t="n">
        <v>27</v>
      </c>
      <c r="E32" s="116" t="n">
        <v>2</v>
      </c>
      <c r="F32" s="112" t="inlineStr">
        <is>
          <t>Brüggedörp</t>
        </is>
      </c>
      <c r="G32" s="112" t="inlineStr">
        <is>
          <t>Rendsborg</t>
        </is>
      </c>
      <c r="H32" s="112" t="inlineStr">
        <is>
          <t>DIFFERENT</t>
        </is>
      </c>
      <c r="I32" s="120" t="n">
        <v>670000</v>
      </c>
      <c r="J32" s="120" t="n">
        <v>670000</v>
      </c>
      <c r="K32" s="114" t="inlineStr">
        <is>
          <t>same</t>
        </is>
      </c>
      <c r="L32" s="114" t="n"/>
      <c r="M32" s="121" t="n"/>
      <c r="N32" s="118" t="n">
        <v>27833019</v>
      </c>
      <c r="O32" s="118" t="n">
        <v>37998000</v>
      </c>
      <c r="P32" s="112" t="inlineStr">
        <is>
          <t>DIFFERENT</t>
        </is>
      </c>
      <c r="Q32" s="118" t="n">
        <v>10164981</v>
      </c>
      <c r="R32" s="119" t="n">
        <v>0.3652130227051546</v>
      </c>
      <c r="S32" s="120" t="n">
        <v>17800</v>
      </c>
      <c r="T32" s="120" t="n">
        <v>17800</v>
      </c>
      <c r="U32" s="114" t="inlineStr">
        <is>
          <t>same</t>
        </is>
      </c>
      <c r="V32" s="114" t="n"/>
      <c r="W32" s="121" t="n"/>
    </row>
    <row r="33">
      <c r="A33" s="3" t="inlineStr">
        <is>
          <t>Erisoria</t>
        </is>
      </c>
      <c r="B33" s="3" t="inlineStr">
        <is>
          <t>Erisoria</t>
        </is>
      </c>
      <c r="C33" s="3" t="inlineStr">
        <is>
          <t>Both</t>
        </is>
      </c>
      <c r="D33" s="5" t="n">
        <v>29</v>
      </c>
      <c r="E33" s="116" t="n">
        <v>2</v>
      </c>
      <c r="F33" s="114" t="inlineStr">
        <is>
          <t>Kaleendamen</t>
        </is>
      </c>
      <c r="G33" s="114" t="inlineStr">
        <is>
          <t>Kaleendamen</t>
        </is>
      </c>
      <c r="H33" s="114" t="inlineStr">
        <is>
          <t>same</t>
        </is>
      </c>
      <c r="I33" s="118" t="n">
        <v>248184</v>
      </c>
      <c r="J33" s="118" t="n">
        <v>488900</v>
      </c>
      <c r="K33" s="112" t="inlineStr">
        <is>
          <t>DIFFERENT</t>
        </is>
      </c>
      <c r="L33" s="118" t="n">
        <v>240716</v>
      </c>
      <c r="M33" s="119" t="n">
        <v>0.9699094220417109</v>
      </c>
      <c r="N33" s="118" t="n">
        <v>34863517</v>
      </c>
      <c r="O33" s="118" t="n">
        <v>34348293</v>
      </c>
      <c r="P33" s="112" t="inlineStr">
        <is>
          <t>DIFFERENT</t>
        </is>
      </c>
      <c r="Q33" s="118" t="n">
        <v>-515224</v>
      </c>
      <c r="R33" s="119" t="n">
        <v>-0.01477831396069421</v>
      </c>
      <c r="S33" s="120" t="n">
        <v>29500</v>
      </c>
      <c r="T33" s="120" t="n">
        <v>29500</v>
      </c>
      <c r="U33" s="114" t="inlineStr">
        <is>
          <t>same</t>
        </is>
      </c>
      <c r="V33" s="114" t="n"/>
      <c r="W33" s="121" t="n"/>
    </row>
    <row r="34">
      <c r="A34" s="3" t="inlineStr">
        <is>
          <t>Esonice</t>
        </is>
      </c>
      <c r="B34" s="3" t="inlineStr">
        <is>
          <t>Esonice</t>
        </is>
      </c>
      <c r="C34" s="3" t="inlineStr">
        <is>
          <t>Both</t>
        </is>
      </c>
      <c r="D34" s="5" t="n">
        <v>30</v>
      </c>
      <c r="E34" s="116" t="n">
        <v>2</v>
      </c>
      <c r="F34" s="114" t="inlineStr">
        <is>
          <t>Maimedo</t>
        </is>
      </c>
      <c r="G34" s="114" t="inlineStr">
        <is>
          <t>Maimedo</t>
        </is>
      </c>
      <c r="H34" s="114" t="inlineStr">
        <is>
          <t>same</t>
        </is>
      </c>
      <c r="I34" s="118" t="n">
        <v>354835</v>
      </c>
      <c r="J34" s="118" t="n">
        <v>442875</v>
      </c>
      <c r="K34" s="112" t="inlineStr">
        <is>
          <t>DIFFERENT</t>
        </is>
      </c>
      <c r="L34" s="118" t="n">
        <v>88040</v>
      </c>
      <c r="M34" s="119" t="n">
        <v>0.2481153212056308</v>
      </c>
      <c r="N34" s="118" t="n">
        <v>33753193</v>
      </c>
      <c r="O34" s="118" t="n">
        <v>72145832</v>
      </c>
      <c r="P34" s="112" t="inlineStr">
        <is>
          <t>DIFFERENT</t>
        </is>
      </c>
      <c r="Q34" s="118" t="n">
        <v>38392639</v>
      </c>
      <c r="R34" s="119" t="n">
        <v>1.137452062683373</v>
      </c>
      <c r="S34" s="120" t="n">
        <v>38312</v>
      </c>
      <c r="T34" s="120" t="n">
        <v>38312</v>
      </c>
      <c r="U34" s="114" t="inlineStr">
        <is>
          <t>same</t>
        </is>
      </c>
      <c r="V34" s="114" t="n"/>
      <c r="W34" s="121" t="n"/>
    </row>
    <row r="35">
      <c r="A35" s="3" t="inlineStr">
        <is>
          <t>Garindina</t>
        </is>
      </c>
      <c r="B35" s="3" t="inlineStr">
        <is>
          <t>Garindina</t>
        </is>
      </c>
      <c r="C35" s="3" t="inlineStr">
        <is>
          <t>Both</t>
        </is>
      </c>
      <c r="D35" s="5" t="n">
        <v>38</v>
      </c>
      <c r="E35" s="116" t="n">
        <v>2</v>
      </c>
      <c r="F35" s="114" t="inlineStr">
        <is>
          <t>Parsa</t>
        </is>
      </c>
      <c r="G35" s="114" t="inlineStr">
        <is>
          <t>Parsa</t>
        </is>
      </c>
      <c r="H35" s="114" t="inlineStr">
        <is>
          <t>same</t>
        </is>
      </c>
      <c r="I35" s="120" t="n">
        <v>366296</v>
      </c>
      <c r="J35" s="120" t="n">
        <v>366296</v>
      </c>
      <c r="K35" s="114" t="inlineStr">
        <is>
          <t>same</t>
        </is>
      </c>
      <c r="L35" s="114" t="n"/>
      <c r="M35" s="121" t="n"/>
      <c r="N35" s="118" t="n">
        <v>9958401</v>
      </c>
      <c r="O35" s="118" t="n">
        <v>23247742</v>
      </c>
      <c r="P35" s="112" t="inlineStr">
        <is>
          <t>DIFFERENT</t>
        </is>
      </c>
      <c r="Q35" s="118" t="n">
        <v>13289341</v>
      </c>
      <c r="R35" s="119" t="n">
        <v>1.334485425923298</v>
      </c>
      <c r="S35" s="118" t="n">
        <v>18700</v>
      </c>
      <c r="T35" s="118" t="n">
        <v>36550</v>
      </c>
      <c r="U35" s="112" t="inlineStr">
        <is>
          <t>DIFFERENT</t>
        </is>
      </c>
      <c r="V35" s="118" t="n">
        <v>17850</v>
      </c>
      <c r="W35" s="119" t="n">
        <v>0.9545454545454546</v>
      </c>
    </row>
    <row r="36">
      <c r="A36" s="3" t="inlineStr">
        <is>
          <t>Ionio</t>
        </is>
      </c>
      <c r="B36" s="3" t="inlineStr">
        <is>
          <t>Ionio</t>
        </is>
      </c>
      <c r="C36" s="3" t="inlineStr">
        <is>
          <t>Both</t>
        </is>
      </c>
      <c r="D36" s="5" t="n">
        <v>47</v>
      </c>
      <c r="E36" s="116" t="n">
        <v>2</v>
      </c>
      <c r="F36" s="114" t="inlineStr">
        <is>
          <t>San Foca</t>
        </is>
      </c>
      <c r="G36" s="114" t="inlineStr">
        <is>
          <t>San Foca</t>
        </is>
      </c>
      <c r="H36" s="114" t="inlineStr">
        <is>
          <t>same</t>
        </is>
      </c>
      <c r="I36" s="120" t="n">
        <v>314212</v>
      </c>
      <c r="J36" s="120" t="n">
        <v>314212</v>
      </c>
      <c r="K36" s="114" t="inlineStr">
        <is>
          <t>same</t>
        </is>
      </c>
      <c r="L36" s="114" t="n"/>
      <c r="M36" s="121" t="n"/>
      <c r="N36" s="118" t="n">
        <v>26768932</v>
      </c>
      <c r="O36" s="118" t="n">
        <v>65784985</v>
      </c>
      <c r="P36" s="112" t="inlineStr">
        <is>
          <t>DIFFERENT</t>
        </is>
      </c>
      <c r="Q36" s="118" t="n">
        <v>39016053</v>
      </c>
      <c r="R36" s="119" t="n">
        <v>1.457512499938361</v>
      </c>
      <c r="S36" s="118" t="n">
        <v>17769</v>
      </c>
      <c r="T36" s="118" t="n">
        <v>29879</v>
      </c>
      <c r="U36" s="112" t="inlineStr">
        <is>
          <t>DIFFERENT</t>
        </is>
      </c>
      <c r="V36" s="118" t="n">
        <v>12110</v>
      </c>
      <c r="W36" s="119" t="n">
        <v>0.6815240024762227</v>
      </c>
    </row>
    <row r="37">
      <c r="A37" s="3" t="inlineStr">
        <is>
          <t>Kolhar</t>
        </is>
      </c>
      <c r="B37" s="3" t="inlineStr">
        <is>
          <t>Kolhar</t>
        </is>
      </c>
      <c r="C37" s="3" t="inlineStr">
        <is>
          <t>Both</t>
        </is>
      </c>
      <c r="D37" s="5" t="n">
        <v>53</v>
      </c>
      <c r="E37" s="116" t="n">
        <v>2</v>
      </c>
      <c r="F37" s="114" t="inlineStr">
        <is>
          <t>Vakor</t>
        </is>
      </c>
      <c r="G37" s="114" t="inlineStr">
        <is>
          <t>Vakor</t>
        </is>
      </c>
      <c r="H37" s="114" t="inlineStr">
        <is>
          <t>same</t>
        </is>
      </c>
      <c r="I37" s="120" t="n">
        <v>239930</v>
      </c>
      <c r="J37" s="120" t="n">
        <v>239930</v>
      </c>
      <c r="K37" s="114" t="inlineStr">
        <is>
          <t>same</t>
        </is>
      </c>
      <c r="L37" s="114" t="n"/>
      <c r="M37" s="121" t="n"/>
      <c r="N37" s="118" t="n">
        <v>39534000</v>
      </c>
      <c r="O37" s="118" t="n">
        <v>51596834</v>
      </c>
      <c r="P37" s="112" t="inlineStr">
        <is>
          <t>DIFFERENT</t>
        </is>
      </c>
      <c r="Q37" s="118" t="n">
        <v>12062834</v>
      </c>
      <c r="R37" s="119" t="n">
        <v>0.3051255628066981</v>
      </c>
      <c r="S37" s="118" t="n">
        <v>14932</v>
      </c>
      <c r="T37" s="118" t="n">
        <v>21337</v>
      </c>
      <c r="U37" s="112" t="inlineStr">
        <is>
          <t>DIFFERENT</t>
        </is>
      </c>
      <c r="V37" s="118" t="n">
        <v>6405</v>
      </c>
      <c r="W37" s="119" t="n">
        <v>0.4289445486204125</v>
      </c>
    </row>
    <row r="38">
      <c r="A38" s="3" t="inlineStr">
        <is>
          <t>Marchyydion</t>
        </is>
      </c>
      <c r="B38" s="3" t="inlineStr">
        <is>
          <t>Marchyydion</t>
        </is>
      </c>
      <c r="C38" s="3" t="inlineStr">
        <is>
          <t>Both</t>
        </is>
      </c>
      <c r="D38" s="5" t="n">
        <v>60</v>
      </c>
      <c r="E38" s="116" t="n">
        <v>2</v>
      </c>
      <c r="F38" s="114" t="inlineStr">
        <is>
          <t>Caer Marchion</t>
        </is>
      </c>
      <c r="G38" s="114" t="inlineStr">
        <is>
          <t>Caer Marchion</t>
        </is>
      </c>
      <c r="H38" s="114" t="inlineStr">
        <is>
          <t>same</t>
        </is>
      </c>
      <c r="I38" s="117" t="n">
        <v>429545.88</v>
      </c>
      <c r="J38" s="118" t="n">
        <v>800000</v>
      </c>
      <c r="K38" s="112" t="inlineStr">
        <is>
          <t>DIFFERENT</t>
        </is>
      </c>
      <c r="L38" s="117" t="n">
        <v>370454.12</v>
      </c>
      <c r="M38" s="119" t="n">
        <v>0.8624320177392925</v>
      </c>
      <c r="N38" s="118" t="n">
        <v>13000000</v>
      </c>
      <c r="O38" s="118" t="n">
        <v>39724000</v>
      </c>
      <c r="P38" s="112" t="inlineStr">
        <is>
          <t>DIFFERENT</t>
        </is>
      </c>
      <c r="Q38" s="118" t="n">
        <v>26724000</v>
      </c>
      <c r="R38" s="119" t="n">
        <v>2.055692307692308</v>
      </c>
      <c r="S38" s="120" t="n">
        <v>19000</v>
      </c>
      <c r="T38" s="120" t="n">
        <v>19000</v>
      </c>
      <c r="U38" s="114" t="inlineStr">
        <is>
          <t>same</t>
        </is>
      </c>
      <c r="V38" s="114" t="n"/>
      <c r="W38" s="121" t="n"/>
    </row>
    <row r="39">
      <c r="A39" s="3" t="inlineStr">
        <is>
          <t>Orioni</t>
        </is>
      </c>
      <c r="B39" s="3" t="inlineStr">
        <is>
          <t>Orioni</t>
        </is>
      </c>
      <c r="C39" s="3" t="inlineStr">
        <is>
          <t>Both</t>
        </is>
      </c>
      <c r="D39" s="5" t="n">
        <v>70</v>
      </c>
      <c r="E39" s="116" t="n">
        <v>2</v>
      </c>
      <c r="F39" s="114" t="inlineStr">
        <is>
          <t>O'polis</t>
        </is>
      </c>
      <c r="G39" s="114" t="inlineStr">
        <is>
          <t>O'polis</t>
        </is>
      </c>
      <c r="H39" s="114" t="inlineStr">
        <is>
          <t>same</t>
        </is>
      </c>
      <c r="I39" s="118" t="n">
        <v>1155853</v>
      </c>
      <c r="J39" s="118" t="n">
        <v>1320687</v>
      </c>
      <c r="K39" s="112" t="inlineStr">
        <is>
          <t>DIFFERENT</t>
        </is>
      </c>
      <c r="L39" s="118" t="n">
        <v>164834</v>
      </c>
      <c r="M39" s="119" t="n">
        <v>0.1426080998189216</v>
      </c>
      <c r="N39" s="120" t="n">
        <v>147478008</v>
      </c>
      <c r="O39" s="120" t="n">
        <v>147478008</v>
      </c>
      <c r="P39" s="114" t="inlineStr">
        <is>
          <t>same</t>
        </is>
      </c>
      <c r="Q39" s="114" t="n"/>
      <c r="R39" s="121" t="n"/>
      <c r="S39" s="118" t="n">
        <v>46131</v>
      </c>
      <c r="T39" s="117" t="n">
        <v>58297.29</v>
      </c>
      <c r="U39" s="112" t="inlineStr">
        <is>
          <t>DIFFERENT</t>
        </is>
      </c>
      <c r="V39" s="117" t="n">
        <v>12166.29</v>
      </c>
      <c r="W39" s="119" t="n">
        <v>0.2637334980815504</v>
      </c>
    </row>
    <row r="40">
      <c r="A40" s="3" t="inlineStr">
        <is>
          <t>Pentium</t>
        </is>
      </c>
      <c r="B40" s="3" t="inlineStr">
        <is>
          <t>Pentium</t>
        </is>
      </c>
      <c r="C40" s="3" t="inlineStr">
        <is>
          <t>Both</t>
        </is>
      </c>
      <c r="D40" s="5" t="n">
        <v>71</v>
      </c>
      <c r="E40" s="116" t="n">
        <v>2</v>
      </c>
      <c r="F40" s="114" t="inlineStr">
        <is>
          <t>Whedon's Row</t>
        </is>
      </c>
      <c r="G40" s="114" t="inlineStr">
        <is>
          <t>Whedon's Row</t>
        </is>
      </c>
      <c r="H40" s="114" t="inlineStr">
        <is>
          <t>same</t>
        </is>
      </c>
      <c r="I40" s="118" t="n">
        <v>87500</v>
      </c>
      <c r="J40" s="118" t="n">
        <v>389287</v>
      </c>
      <c r="K40" s="112" t="inlineStr">
        <is>
          <t>DIFFERENT</t>
        </is>
      </c>
      <c r="L40" s="118" t="n">
        <v>301787</v>
      </c>
      <c r="M40" s="119" t="n">
        <v>3.448994285714286</v>
      </c>
      <c r="N40" s="120" t="n">
        <v>95456345</v>
      </c>
      <c r="O40" s="120" t="n">
        <v>95456345</v>
      </c>
      <c r="P40" s="114" t="inlineStr">
        <is>
          <t>same</t>
        </is>
      </c>
      <c r="Q40" s="114" t="n"/>
      <c r="R40" s="121" t="n"/>
      <c r="S40" s="118" t="n">
        <v>21220</v>
      </c>
      <c r="T40" s="118" t="n">
        <v>37542</v>
      </c>
      <c r="U40" s="112" t="inlineStr">
        <is>
          <t>DIFFERENT</t>
        </is>
      </c>
      <c r="V40" s="118" t="n">
        <v>16322</v>
      </c>
      <c r="W40" s="119" t="n">
        <v>0.7691800188501414</v>
      </c>
    </row>
    <row r="41">
      <c r="A41" s="3" t="inlineStr">
        <is>
          <t>Ralzawr</t>
        </is>
      </c>
      <c r="B41" s="3" t="inlineStr">
        <is>
          <t>Ralzawr</t>
        </is>
      </c>
      <c r="C41" s="3" t="inlineStr">
        <is>
          <t>Both</t>
        </is>
      </c>
      <c r="D41" s="5" t="n">
        <v>75</v>
      </c>
      <c r="E41" s="116" t="n">
        <v>2</v>
      </c>
      <c r="F41" s="114" t="inlineStr">
        <is>
          <t>Yiywa</t>
        </is>
      </c>
      <c r="G41" s="114" t="inlineStr">
        <is>
          <t>Yiywa</t>
        </is>
      </c>
      <c r="H41" s="114" t="inlineStr">
        <is>
          <t>same</t>
        </is>
      </c>
      <c r="I41" s="117" t="n">
        <v>871928.11</v>
      </c>
      <c r="J41" s="118" t="n">
        <v>1500000</v>
      </c>
      <c r="K41" s="112" t="inlineStr">
        <is>
          <t>DIFFERENT</t>
        </is>
      </c>
      <c r="L41" s="117" t="n">
        <v>628071.89</v>
      </c>
      <c r="M41" s="119" t="n">
        <v>0.7203253144344665</v>
      </c>
      <c r="N41" s="120" t="n">
        <v>12815308</v>
      </c>
      <c r="O41" s="120" t="n">
        <v>12815308</v>
      </c>
      <c r="P41" s="114" t="inlineStr">
        <is>
          <t>same</t>
        </is>
      </c>
      <c r="Q41" s="114" t="n"/>
      <c r="R41" s="121" t="n"/>
      <c r="S41" s="118" t="n">
        <v>48800</v>
      </c>
      <c r="T41" s="118" t="n">
        <v>58973</v>
      </c>
      <c r="U41" s="112" t="inlineStr">
        <is>
          <t>DIFFERENT</t>
        </is>
      </c>
      <c r="V41" s="118" t="n">
        <v>10173</v>
      </c>
      <c r="W41" s="119" t="n">
        <v>0.2084631147540984</v>
      </c>
    </row>
    <row r="42">
      <c r="A42" s="3" t="inlineStr">
        <is>
          <t>Rhodellia</t>
        </is>
      </c>
      <c r="B42" s="3" t="inlineStr">
        <is>
          <t>Rhodellia</t>
        </is>
      </c>
      <c r="C42" s="3" t="inlineStr">
        <is>
          <t>Both</t>
        </is>
      </c>
      <c r="D42" s="5" t="n">
        <v>77</v>
      </c>
      <c r="E42" s="116" t="n">
        <v>2</v>
      </c>
      <c r="F42" s="114" t="inlineStr">
        <is>
          <t>Friedrichstadt</t>
        </is>
      </c>
      <c r="G42" s="114" t="inlineStr">
        <is>
          <t>Friedrichstadt</t>
        </is>
      </c>
      <c r="H42" s="114" t="inlineStr">
        <is>
          <t>same</t>
        </is>
      </c>
      <c r="I42" s="120" t="n">
        <v>89200</v>
      </c>
      <c r="J42" s="120" t="n">
        <v>89200</v>
      </c>
      <c r="K42" s="114" t="inlineStr">
        <is>
          <t>same</t>
        </is>
      </c>
      <c r="L42" s="114" t="n"/>
      <c r="M42" s="121" t="n"/>
      <c r="N42" s="118" t="n">
        <v>10000000</v>
      </c>
      <c r="O42" s="118" t="n">
        <v>24900000</v>
      </c>
      <c r="P42" s="112" t="inlineStr">
        <is>
          <t>DIFFERENT</t>
        </is>
      </c>
      <c r="Q42" s="118" t="n">
        <v>14900000</v>
      </c>
      <c r="R42" s="119" t="n">
        <v>1.49</v>
      </c>
      <c r="S42" s="118" t="n">
        <v>45000</v>
      </c>
      <c r="T42" s="118" t="n">
        <v>59500</v>
      </c>
      <c r="U42" s="112" t="inlineStr">
        <is>
          <t>DIFFERENT</t>
        </is>
      </c>
      <c r="V42" s="118" t="n">
        <v>14500</v>
      </c>
      <c r="W42" s="119" t="n">
        <v>0.3222222222222222</v>
      </c>
    </row>
    <row r="43">
      <c r="A43" s="3" t="inlineStr">
        <is>
          <t>Sahra</t>
        </is>
      </c>
      <c r="B43" s="3" t="inlineStr">
        <is>
          <t>Sahra</t>
        </is>
      </c>
      <c r="C43" s="3" t="inlineStr">
        <is>
          <t>Both</t>
        </is>
      </c>
      <c r="D43" s="5" t="n">
        <v>80</v>
      </c>
      <c r="E43" s="116" t="n">
        <v>2</v>
      </c>
      <c r="F43" s="114" t="inlineStr">
        <is>
          <t>Ra</t>
        </is>
      </c>
      <c r="G43" s="114" t="inlineStr">
        <is>
          <t>Ra</t>
        </is>
      </c>
      <c r="H43" s="114" t="inlineStr">
        <is>
          <t>same</t>
        </is>
      </c>
      <c r="I43" s="120" t="n">
        <v>846377</v>
      </c>
      <c r="J43" s="120" t="n">
        <v>846377</v>
      </c>
      <c r="K43" s="114" t="inlineStr">
        <is>
          <t>same</t>
        </is>
      </c>
      <c r="L43" s="114" t="n"/>
      <c r="M43" s="121" t="n"/>
      <c r="N43" s="118" t="n">
        <v>20000000</v>
      </c>
      <c r="O43" s="118" t="n">
        <v>40000000</v>
      </c>
      <c r="P43" s="112" t="inlineStr">
        <is>
          <t>DIFFERENT</t>
        </is>
      </c>
      <c r="Q43" s="118" t="n">
        <v>20000000</v>
      </c>
      <c r="R43" s="119" t="n">
        <v>1</v>
      </c>
      <c r="S43" s="118" t="n">
        <v>10000</v>
      </c>
      <c r="T43" s="118" t="n">
        <v>18000</v>
      </c>
      <c r="U43" s="112" t="inlineStr">
        <is>
          <t>DIFFERENT</t>
        </is>
      </c>
      <c r="V43" s="118" t="n">
        <v>8000</v>
      </c>
      <c r="W43" s="119" t="n">
        <v>0.8</v>
      </c>
    </row>
    <row r="44">
      <c r="A44" s="3" t="inlineStr">
        <is>
          <t>Stedoria</t>
        </is>
      </c>
      <c r="B44" s="3" t="inlineStr">
        <is>
          <t>Stedoria</t>
        </is>
      </c>
      <c r="C44" s="3" t="inlineStr">
        <is>
          <t>Both</t>
        </is>
      </c>
      <c r="D44" s="5" t="n">
        <v>86</v>
      </c>
      <c r="E44" s="116" t="n">
        <v>2</v>
      </c>
      <c r="F44" s="114" t="inlineStr">
        <is>
          <t>Kapojvar</t>
        </is>
      </c>
      <c r="G44" s="114" t="inlineStr">
        <is>
          <t>Kapojvar</t>
        </is>
      </c>
      <c r="H44" s="114" t="inlineStr">
        <is>
          <t>same</t>
        </is>
      </c>
      <c r="I44" s="120" t="n">
        <v>296300</v>
      </c>
      <c r="J44" s="120" t="n">
        <v>296300</v>
      </c>
      <c r="K44" s="114" t="inlineStr">
        <is>
          <t>same</t>
        </is>
      </c>
      <c r="L44" s="114" t="n"/>
      <c r="M44" s="121" t="n"/>
      <c r="N44" s="118" t="n">
        <v>18727052</v>
      </c>
      <c r="O44" s="118" t="n">
        <v>26409216</v>
      </c>
      <c r="P44" s="112" t="inlineStr">
        <is>
          <t>DIFFERENT</t>
        </is>
      </c>
      <c r="Q44" s="118" t="n">
        <v>7682164</v>
      </c>
      <c r="R44" s="119" t="n">
        <v>0.4102174757671416</v>
      </c>
      <c r="S44" s="118" t="n">
        <v>14399</v>
      </c>
      <c r="T44" s="118" t="n">
        <v>21161</v>
      </c>
      <c r="U44" s="112" t="inlineStr">
        <is>
          <t>DIFFERENT</t>
        </is>
      </c>
      <c r="V44" s="118" t="n">
        <v>6762</v>
      </c>
      <c r="W44" s="119" t="n">
        <v>0.4696159455517744</v>
      </c>
    </row>
    <row r="45">
      <c r="A45" s="3" t="inlineStr">
        <is>
          <t>Sunseong</t>
        </is>
      </c>
      <c r="B45" s="3" t="inlineStr">
        <is>
          <t>Sunseong</t>
        </is>
      </c>
      <c r="C45" s="3" t="inlineStr">
        <is>
          <t>Both</t>
        </is>
      </c>
      <c r="D45" s="5" t="n">
        <v>88</v>
      </c>
      <c r="E45" s="116" t="n">
        <v>2</v>
      </c>
      <c r="F45" s="114" t="inlineStr">
        <is>
          <t>Wonchon</t>
        </is>
      </c>
      <c r="G45" s="114" t="inlineStr">
        <is>
          <t>Wonchon</t>
        </is>
      </c>
      <c r="H45" s="114" t="inlineStr">
        <is>
          <t>same</t>
        </is>
      </c>
      <c r="I45" s="120" t="n">
        <v>182292</v>
      </c>
      <c r="J45" s="120" t="n">
        <v>182292</v>
      </c>
      <c r="K45" s="114" t="inlineStr">
        <is>
          <t>same</t>
        </is>
      </c>
      <c r="L45" s="114" t="n"/>
      <c r="M45" s="121" t="n"/>
      <c r="N45" s="118" t="n">
        <v>23660000</v>
      </c>
      <c r="O45" s="118" t="n">
        <v>47600000</v>
      </c>
      <c r="P45" s="112" t="inlineStr">
        <is>
          <t>DIFFERENT</t>
        </is>
      </c>
      <c r="Q45" s="118" t="n">
        <v>23940000</v>
      </c>
      <c r="R45" s="119" t="n">
        <v>1.011834319526627</v>
      </c>
      <c r="S45" s="118" t="n">
        <v>19369</v>
      </c>
      <c r="T45" s="118" t="n">
        <v>29369</v>
      </c>
      <c r="U45" s="112" t="inlineStr">
        <is>
          <t>DIFFERENT</t>
        </is>
      </c>
      <c r="V45" s="118" t="n">
        <v>10000</v>
      </c>
      <c r="W45" s="119" t="n">
        <v>0.5162889152769891</v>
      </c>
    </row>
    <row r="46">
      <c r="A46" s="3" t="inlineStr">
        <is>
          <t>Ymutz-Mizlan</t>
        </is>
      </c>
      <c r="B46" s="3" t="inlineStr">
        <is>
          <t>Ymutz-Mizlan</t>
        </is>
      </c>
      <c r="C46" s="3" t="inlineStr">
        <is>
          <t>Both</t>
        </is>
      </c>
      <c r="D46" s="5" t="n">
        <v>105</v>
      </c>
      <c r="E46" s="116" t="n">
        <v>2</v>
      </c>
      <c r="F46" s="114" t="inlineStr">
        <is>
          <t>Ferrescan</t>
        </is>
      </c>
      <c r="G46" s="114" t="inlineStr">
        <is>
          <t>Ferrescan</t>
        </is>
      </c>
      <c r="H46" s="114" t="inlineStr">
        <is>
          <t>same</t>
        </is>
      </c>
      <c r="I46" s="120" t="n">
        <v>645100</v>
      </c>
      <c r="J46" s="120" t="n">
        <v>645100</v>
      </c>
      <c r="K46" s="114" t="inlineStr">
        <is>
          <t>same</t>
        </is>
      </c>
      <c r="L46" s="114" t="n"/>
      <c r="M46" s="121" t="n"/>
      <c r="N46" s="118" t="n">
        <v>30203486</v>
      </c>
      <c r="O46" s="118" t="n">
        <v>60000000</v>
      </c>
      <c r="P46" s="112" t="inlineStr">
        <is>
          <t>DIFFERENT</t>
        </is>
      </c>
      <c r="Q46" s="118" t="n">
        <v>29796514</v>
      </c>
      <c r="R46" s="119" t="n">
        <v>0.9865256613094263</v>
      </c>
      <c r="S46" s="118" t="n">
        <v>7000</v>
      </c>
      <c r="T46" s="118" t="n">
        <v>15000</v>
      </c>
      <c r="U46" s="112" t="inlineStr">
        <is>
          <t>DIFFERENT</t>
        </is>
      </c>
      <c r="V46" s="118" t="n">
        <v>8000</v>
      </c>
      <c r="W46" s="119" t="n">
        <v>1.142857142857143</v>
      </c>
    </row>
    <row r="47">
      <c r="A47" s="3" t="inlineStr">
        <is>
          <t>Goankok</t>
        </is>
      </c>
      <c r="B47" s="3" t="inlineStr">
        <is>
          <t>Goankok</t>
        </is>
      </c>
      <c r="C47" s="3" t="inlineStr">
        <is>
          <t>Both</t>
        </is>
      </c>
      <c r="D47" s="5" t="n">
        <v>41</v>
      </c>
      <c r="E47" s="116" t="n">
        <v>1</v>
      </c>
      <c r="F47" s="114" t="inlineStr">
        <is>
          <t>Sisimto</t>
        </is>
      </c>
      <c r="G47" s="114" t="inlineStr">
        <is>
          <t>Sisimto</t>
        </is>
      </c>
      <c r="H47" s="114" t="inlineStr">
        <is>
          <t>same</t>
        </is>
      </c>
      <c r="I47" s="122" t="n">
        <v>33585.92</v>
      </c>
      <c r="J47" s="120" t="n">
        <v>33586</v>
      </c>
      <c r="K47" s="114" t="inlineStr">
        <is>
          <t>same</t>
        </is>
      </c>
      <c r="L47" s="114" t="n"/>
      <c r="M47" s="121" t="n"/>
      <c r="N47" s="120" t="n">
        <v>13646233</v>
      </c>
      <c r="O47" s="120" t="n">
        <v>13646233</v>
      </c>
      <c r="P47" s="114" t="inlineStr">
        <is>
          <t>same</t>
        </is>
      </c>
      <c r="Q47" s="114" t="n"/>
      <c r="R47" s="121" t="n"/>
      <c r="S47" s="118" t="n">
        <v>8452</v>
      </c>
      <c r="T47" s="118" t="n">
        <v>16452</v>
      </c>
      <c r="U47" s="112" t="inlineStr">
        <is>
          <t>DIFFERENT</t>
        </is>
      </c>
      <c r="V47" s="118" t="n">
        <v>8000</v>
      </c>
      <c r="W47" s="119" t="n">
        <v>0.9465215333648841</v>
      </c>
    </row>
    <row r="48">
      <c r="A48" s="3" t="inlineStr">
        <is>
          <t>Mitō</t>
        </is>
      </c>
      <c r="B48" s="3" t="inlineStr">
        <is>
          <t>Mito</t>
        </is>
      </c>
      <c r="C48" s="3" t="inlineStr">
        <is>
          <t>Both</t>
        </is>
      </c>
      <c r="D48" s="5" t="n">
        <v>65</v>
      </c>
      <c r="E48" s="116" t="n">
        <v>1</v>
      </c>
      <c r="F48" s="114" t="inlineStr">
        <is>
          <t>Kenkyō</t>
        </is>
      </c>
      <c r="G48" s="114" t="inlineStr">
        <is>
          <t>Kenkyō</t>
        </is>
      </c>
      <c r="H48" s="114" t="inlineStr">
        <is>
          <t>same</t>
        </is>
      </c>
      <c r="I48" s="120" t="n">
        <v>59355</v>
      </c>
      <c r="J48" s="120" t="n">
        <v>59355</v>
      </c>
      <c r="K48" s="114" t="inlineStr">
        <is>
          <t>same</t>
        </is>
      </c>
      <c r="L48" s="114" t="n"/>
      <c r="M48" s="121" t="n"/>
      <c r="N48" s="118" t="n">
        <v>9723000</v>
      </c>
      <c r="O48" s="118" t="n">
        <v>13723000</v>
      </c>
      <c r="P48" s="112" t="inlineStr">
        <is>
          <t>DIFFERENT</t>
        </is>
      </c>
      <c r="Q48" s="118" t="n">
        <v>4000000</v>
      </c>
      <c r="R48" s="119" t="n">
        <v>0.4113956597757893</v>
      </c>
      <c r="S48" s="120" t="n">
        <v>44829</v>
      </c>
      <c r="T48" s="120" t="n">
        <v>44829</v>
      </c>
      <c r="U48" s="114" t="inlineStr">
        <is>
          <t>same</t>
        </is>
      </c>
      <c r="V48" s="114" t="n"/>
      <c r="W48" s="121" t="n"/>
    </row>
    <row r="49">
      <c r="A49" s="3" t="inlineStr">
        <is>
          <t>Verraine</t>
        </is>
      </c>
      <c r="B49" s="3" t="inlineStr">
        <is>
          <t>Verraine</t>
        </is>
      </c>
      <c r="C49" s="3" t="inlineStr">
        <is>
          <t>Both</t>
        </is>
      </c>
      <c r="D49" s="5" t="n">
        <v>98</v>
      </c>
      <c r="E49" s="116" t="n">
        <v>1</v>
      </c>
      <c r="F49" s="114" t="inlineStr">
        <is>
          <t>Terre Littoral</t>
        </is>
      </c>
      <c r="G49" s="114" t="inlineStr">
        <is>
          <t>Terre Littoral</t>
        </is>
      </c>
      <c r="H49" s="114" t="inlineStr">
        <is>
          <t>same</t>
        </is>
      </c>
      <c r="I49" s="120" t="n">
        <v>329176</v>
      </c>
      <c r="J49" s="120" t="n">
        <v>329176</v>
      </c>
      <c r="K49" s="114" t="inlineStr">
        <is>
          <t>same</t>
        </is>
      </c>
      <c r="L49" s="114" t="n"/>
      <c r="M49" s="121" t="n"/>
      <c r="N49" s="118" t="n">
        <v>21072594</v>
      </c>
      <c r="O49" s="118" t="n">
        <v>21000000</v>
      </c>
      <c r="P49" s="112" t="inlineStr">
        <is>
          <t>DIFFERENT</t>
        </is>
      </c>
      <c r="Q49" s="118" t="n">
        <v>-72594</v>
      </c>
      <c r="R49" s="119" t="n">
        <v>-0.003444948448207183</v>
      </c>
      <c r="S49" s="120" t="n">
        <v>19571</v>
      </c>
      <c r="T49" s="120" t="n">
        <v>19571</v>
      </c>
      <c r="U49" s="114" t="inlineStr">
        <is>
          <t>same</t>
        </is>
      </c>
      <c r="V49" s="114" t="n"/>
      <c r="W49" s="121" t="n"/>
    </row>
    <row r="50">
      <c r="A50" s="3" t="inlineStr">
        <is>
          <t>Abantium</t>
        </is>
      </c>
      <c r="B50" s="3" t="inlineStr">
        <is>
          <t>Abantium</t>
        </is>
      </c>
      <c r="C50" s="3" t="inlineStr">
        <is>
          <t>Both</t>
        </is>
      </c>
      <c r="D50" s="5" t="n">
        <v>2</v>
      </c>
      <c r="E50" s="5" t="n">
        <v>0</v>
      </c>
      <c r="F50" s="114" t="inlineStr">
        <is>
          <t>Inhlokodolobha</t>
        </is>
      </c>
      <c r="G50" s="114" t="inlineStr">
        <is>
          <t>Inhlokodolobha</t>
        </is>
      </c>
      <c r="H50" s="114" t="inlineStr">
        <is>
          <t>same</t>
        </is>
      </c>
      <c r="I50" s="120" t="n">
        <v>213180</v>
      </c>
      <c r="J50" s="120" t="n">
        <v>213180</v>
      </c>
      <c r="K50" s="114" t="inlineStr">
        <is>
          <t>same</t>
        </is>
      </c>
      <c r="L50" s="114" t="n"/>
      <c r="M50" s="121" t="n"/>
      <c r="N50" s="120" t="n">
        <v>62000000</v>
      </c>
      <c r="O50" s="120" t="n">
        <v>62000000</v>
      </c>
      <c r="P50" s="114" t="inlineStr">
        <is>
          <t>same</t>
        </is>
      </c>
      <c r="Q50" s="114" t="n"/>
      <c r="R50" s="121" t="n"/>
      <c r="S50" s="3" t="n"/>
      <c r="T50" s="3" t="n"/>
      <c r="U50" s="3" t="inlineStr">
        <is>
          <t>both unknown</t>
        </is>
      </c>
      <c r="V50" s="3" t="n"/>
      <c r="W50" s="123" t="n"/>
    </row>
    <row r="51">
      <c r="A51" s="3" t="inlineStr">
        <is>
          <t>Adaptus</t>
        </is>
      </c>
      <c r="B51" s="3" t="inlineStr">
        <is>
          <t>Adaptus</t>
        </is>
      </c>
      <c r="C51" s="3" t="inlineStr">
        <is>
          <t>Both</t>
        </is>
      </c>
      <c r="D51" s="5" t="n">
        <v>3</v>
      </c>
      <c r="E51" s="5" t="n">
        <v>0</v>
      </c>
      <c r="F51" s="114" t="inlineStr">
        <is>
          <t>Novumcastrum</t>
        </is>
      </c>
      <c r="G51" s="114" t="inlineStr">
        <is>
          <t>Novumcastrum</t>
        </is>
      </c>
      <c r="H51" s="114" t="inlineStr">
        <is>
          <t>same</t>
        </is>
      </c>
      <c r="I51" s="120" t="n">
        <v>1326602</v>
      </c>
      <c r="J51" s="120" t="n">
        <v>1326602</v>
      </c>
      <c r="K51" s="114" t="inlineStr">
        <is>
          <t>same</t>
        </is>
      </c>
      <c r="L51" s="114" t="n"/>
      <c r="M51" s="121" t="n"/>
      <c r="N51" s="120" t="n">
        <v>224540000</v>
      </c>
      <c r="O51" s="120" t="n">
        <v>224540000</v>
      </c>
      <c r="P51" s="114" t="inlineStr">
        <is>
          <t>same</t>
        </is>
      </c>
      <c r="Q51" s="114" t="n"/>
      <c r="R51" s="121" t="n"/>
      <c r="S51" s="120" t="n">
        <v>30527</v>
      </c>
      <c r="T51" s="120" t="n">
        <v>30527</v>
      </c>
      <c r="U51" s="114" t="inlineStr">
        <is>
          <t>same</t>
        </is>
      </c>
      <c r="V51" s="114" t="n"/>
      <c r="W51" s="121" t="n"/>
    </row>
    <row r="52">
      <c r="A52" s="3" t="inlineStr">
        <is>
          <t>Afropa</t>
        </is>
      </c>
      <c r="B52" s="3" t="inlineStr">
        <is>
          <t>Afropa</t>
        </is>
      </c>
      <c r="C52" s="3" t="inlineStr">
        <is>
          <t>Both</t>
        </is>
      </c>
      <c r="D52" s="5" t="n">
        <v>4</v>
      </c>
      <c r="E52" s="5" t="n">
        <v>0</v>
      </c>
      <c r="F52" s="114" t="inlineStr">
        <is>
          <t>Dieudonné</t>
        </is>
      </c>
      <c r="G52" s="114" t="inlineStr">
        <is>
          <t>Dieudonné</t>
        </is>
      </c>
      <c r="H52" s="114" t="inlineStr">
        <is>
          <t>same</t>
        </is>
      </c>
      <c r="I52" s="122" t="n">
        <v>413741.14</v>
      </c>
      <c r="J52" s="120" t="n">
        <v>413741</v>
      </c>
      <c r="K52" s="114" t="inlineStr">
        <is>
          <t>same</t>
        </is>
      </c>
      <c r="L52" s="114" t="n"/>
      <c r="M52" s="121" t="n"/>
      <c r="N52" s="120" t="n">
        <v>15300000</v>
      </c>
      <c r="O52" s="120" t="n">
        <v>15300000</v>
      </c>
      <c r="P52" s="114" t="inlineStr">
        <is>
          <t>same</t>
        </is>
      </c>
      <c r="Q52" s="114" t="n"/>
      <c r="R52" s="121" t="n"/>
      <c r="S52" s="120" t="n">
        <v>6195</v>
      </c>
      <c r="T52" s="120" t="n">
        <v>6195</v>
      </c>
      <c r="U52" s="114" t="inlineStr">
        <is>
          <t>same</t>
        </is>
      </c>
      <c r="V52" s="114" t="n"/>
      <c r="W52" s="121" t="n"/>
    </row>
    <row r="53">
      <c r="A53" s="3" t="inlineStr">
        <is>
          <t>Alvernia</t>
        </is>
      </c>
      <c r="B53" s="3" t="inlineStr">
        <is>
          <t>Alvernia</t>
        </is>
      </c>
      <c r="C53" s="3" t="inlineStr">
        <is>
          <t>Both</t>
        </is>
      </c>
      <c r="D53" s="5" t="n">
        <v>7</v>
      </c>
      <c r="E53" s="5" t="n">
        <v>0</v>
      </c>
      <c r="F53" s="114" t="inlineStr">
        <is>
          <t>Soncinia</t>
        </is>
      </c>
      <c r="G53" s="114" t="inlineStr">
        <is>
          <t>Soncinia</t>
        </is>
      </c>
      <c r="H53" s="114" t="inlineStr">
        <is>
          <t>same</t>
        </is>
      </c>
      <c r="I53" s="120" t="n">
        <v>165016</v>
      </c>
      <c r="J53" s="120" t="n">
        <v>165016</v>
      </c>
      <c r="K53" s="114" t="inlineStr">
        <is>
          <t>same</t>
        </is>
      </c>
      <c r="L53" s="114" t="n"/>
      <c r="M53" s="121" t="n"/>
      <c r="N53" s="120" t="n">
        <v>9234678</v>
      </c>
      <c r="O53" s="120" t="n">
        <v>9234678</v>
      </c>
      <c r="P53" s="114" t="inlineStr">
        <is>
          <t>same</t>
        </is>
      </c>
      <c r="Q53" s="114" t="n"/>
      <c r="R53" s="121" t="n"/>
      <c r="S53" s="120" t="n">
        <v>15613</v>
      </c>
      <c r="T53" s="120" t="n">
        <v>15613</v>
      </c>
      <c r="U53" s="114" t="inlineStr">
        <is>
          <t>same</t>
        </is>
      </c>
      <c r="V53" s="114" t="n"/>
      <c r="W53" s="121" t="n"/>
    </row>
    <row r="54">
      <c r="A54" s="3" t="inlineStr">
        <is>
          <t>Andalla</t>
        </is>
      </c>
      <c r="B54" s="3" t="inlineStr">
        <is>
          <t>Andalla</t>
        </is>
      </c>
      <c r="C54" s="3" t="inlineStr">
        <is>
          <t>Both</t>
        </is>
      </c>
      <c r="D54" s="5" t="n">
        <v>8</v>
      </c>
      <c r="E54" s="5" t="n">
        <v>0</v>
      </c>
      <c r="F54" s="114" t="inlineStr">
        <is>
          <t>Arkhavn</t>
        </is>
      </c>
      <c r="G54" s="114" t="inlineStr">
        <is>
          <t>Arkhavn</t>
        </is>
      </c>
      <c r="H54" s="114" t="inlineStr">
        <is>
          <t>same</t>
        </is>
      </c>
      <c r="I54" s="120" t="n">
        <v>72931</v>
      </c>
      <c r="J54" s="120" t="n">
        <v>72931</v>
      </c>
      <c r="K54" s="114" t="inlineStr">
        <is>
          <t>same</t>
        </is>
      </c>
      <c r="L54" s="114" t="n"/>
      <c r="M54" s="121" t="n"/>
      <c r="N54" s="120" t="n">
        <v>28036248</v>
      </c>
      <c r="O54" s="120" t="n">
        <v>28036248</v>
      </c>
      <c r="P54" s="114" t="inlineStr">
        <is>
          <t>same</t>
        </is>
      </c>
      <c r="Q54" s="114" t="n"/>
      <c r="R54" s="121" t="n"/>
      <c r="S54" s="120" t="n">
        <v>23143</v>
      </c>
      <c r="T54" s="120" t="n">
        <v>23143</v>
      </c>
      <c r="U54" s="114" t="inlineStr">
        <is>
          <t>same</t>
        </is>
      </c>
      <c r="V54" s="114" t="n"/>
      <c r="W54" s="121" t="n"/>
    </row>
    <row r="55">
      <c r="A55" s="3" t="inlineStr">
        <is>
          <t>Ayubi</t>
        </is>
      </c>
      <c r="B55" s="3" t="inlineStr">
        <is>
          <t>Ayubi</t>
        </is>
      </c>
      <c r="C55" s="3" t="inlineStr">
        <is>
          <t>Both</t>
        </is>
      </c>
      <c r="D55" s="5" t="n">
        <v>11</v>
      </c>
      <c r="E55" s="5" t="n">
        <v>0</v>
      </c>
      <c r="F55" s="114" t="inlineStr">
        <is>
          <t>Alhafa</t>
        </is>
      </c>
      <c r="G55" s="114" t="inlineStr">
        <is>
          <t>Alhafa</t>
        </is>
      </c>
      <c r="H55" s="114" t="inlineStr">
        <is>
          <t>same</t>
        </is>
      </c>
      <c r="I55" s="120" t="n">
        <v>53751</v>
      </c>
      <c r="J55" s="120" t="n">
        <v>53751</v>
      </c>
      <c r="K55" s="114" t="inlineStr">
        <is>
          <t>same</t>
        </is>
      </c>
      <c r="L55" s="114" t="n"/>
      <c r="M55" s="121" t="n"/>
      <c r="N55" s="120" t="n">
        <v>1303569</v>
      </c>
      <c r="O55" s="120" t="n">
        <v>1303569</v>
      </c>
      <c r="P55" s="114" t="inlineStr">
        <is>
          <t>same</t>
        </is>
      </c>
      <c r="Q55" s="114" t="n"/>
      <c r="R55" s="121" t="n"/>
      <c r="S55" s="120" t="n">
        <v>68457</v>
      </c>
      <c r="T55" s="120" t="n">
        <v>68457</v>
      </c>
      <c r="U55" s="114" t="inlineStr">
        <is>
          <t>same</t>
        </is>
      </c>
      <c r="V55" s="114" t="n"/>
      <c r="W55" s="121" t="n"/>
    </row>
    <row r="56">
      <c r="A56" s="3" t="inlineStr">
        <is>
          <t>Bainbridge Islands</t>
        </is>
      </c>
      <c r="B56" s="3" t="inlineStr">
        <is>
          <t>Bainbridge-Islands</t>
        </is>
      </c>
      <c r="C56" s="3" t="inlineStr">
        <is>
          <t>Both</t>
        </is>
      </c>
      <c r="D56" s="5" t="n">
        <v>12</v>
      </c>
      <c r="E56" s="5" t="n">
        <v>0</v>
      </c>
      <c r="F56" s="114" t="inlineStr">
        <is>
          <t>Honolulu</t>
        </is>
      </c>
      <c r="G56" s="114" t="inlineStr">
        <is>
          <t>Honolulu</t>
        </is>
      </c>
      <c r="H56" s="114" t="inlineStr">
        <is>
          <t>same</t>
        </is>
      </c>
      <c r="I56" s="122" t="n">
        <v>309612.91</v>
      </c>
      <c r="J56" s="120" t="n">
        <v>309613</v>
      </c>
      <c r="K56" s="114" t="inlineStr">
        <is>
          <t>same</t>
        </is>
      </c>
      <c r="L56" s="114" t="n"/>
      <c r="M56" s="121" t="n"/>
      <c r="N56" s="120" t="n">
        <v>18900000</v>
      </c>
      <c r="O56" s="120" t="n">
        <v>18900000</v>
      </c>
      <c r="P56" s="114" t="inlineStr">
        <is>
          <t>same</t>
        </is>
      </c>
      <c r="Q56" s="114" t="n"/>
      <c r="R56" s="121" t="n"/>
      <c r="S56" s="120" t="n">
        <v>48033</v>
      </c>
      <c r="T56" s="120" t="n">
        <v>48033</v>
      </c>
      <c r="U56" s="114" t="inlineStr">
        <is>
          <t>same</t>
        </is>
      </c>
      <c r="V56" s="114" t="n"/>
      <c r="W56" s="121" t="n"/>
    </row>
    <row r="57">
      <c r="A57" s="3" t="inlineStr">
        <is>
          <t>Bashan</t>
        </is>
      </c>
      <c r="B57" s="3" t="inlineStr">
        <is>
          <t>Bashan</t>
        </is>
      </c>
      <c r="C57" s="3" t="inlineStr">
        <is>
          <t>Both</t>
        </is>
      </c>
      <c r="D57" s="5" t="n">
        <v>14</v>
      </c>
      <c r="E57" s="5" t="n">
        <v>0</v>
      </c>
      <c r="F57" s="114" t="inlineStr">
        <is>
          <t>En Gannim</t>
        </is>
      </c>
      <c r="G57" s="114" t="inlineStr">
        <is>
          <t>En Gannim</t>
        </is>
      </c>
      <c r="H57" s="114" t="inlineStr">
        <is>
          <t>same</t>
        </is>
      </c>
      <c r="I57" s="120" t="n">
        <v>239200</v>
      </c>
      <c r="J57" s="120" t="n">
        <v>239200</v>
      </c>
      <c r="K57" s="114" t="inlineStr">
        <is>
          <t>same</t>
        </is>
      </c>
      <c r="L57" s="114" t="n"/>
      <c r="M57" s="121" t="n"/>
      <c r="N57" s="120" t="n">
        <v>8146286</v>
      </c>
      <c r="O57" s="120" t="n">
        <v>8146286</v>
      </c>
      <c r="P57" s="114" t="inlineStr">
        <is>
          <t>same</t>
        </is>
      </c>
      <c r="Q57" s="114" t="n"/>
      <c r="R57" s="121" t="n"/>
      <c r="S57" s="120" t="n">
        <v>24539</v>
      </c>
      <c r="T57" s="120" t="n">
        <v>24539</v>
      </c>
      <c r="U57" s="114" t="inlineStr">
        <is>
          <t>same</t>
        </is>
      </c>
      <c r="V57" s="114" t="n"/>
      <c r="W57" s="121" t="n"/>
    </row>
    <row r="58">
      <c r="A58" s="3" t="inlineStr">
        <is>
          <t>Burkini</t>
        </is>
      </c>
      <c r="B58" s="3" t="inlineStr">
        <is>
          <t>Burkini</t>
        </is>
      </c>
      <c r="C58" s="3" t="inlineStr">
        <is>
          <t>Both</t>
        </is>
      </c>
      <c r="D58" s="5" t="n">
        <v>15</v>
      </c>
      <c r="E58" s="5" t="n">
        <v>0</v>
      </c>
      <c r="F58" s="114" t="inlineStr">
        <is>
          <t>Cronulla</t>
        </is>
      </c>
      <c r="G58" s="114" t="inlineStr">
        <is>
          <t>Cronulla</t>
        </is>
      </c>
      <c r="H58" s="114" t="inlineStr">
        <is>
          <t>same</t>
        </is>
      </c>
      <c r="I58" s="122" t="n">
        <v>1007.1</v>
      </c>
      <c r="J58" s="120" t="n">
        <v>1007</v>
      </c>
      <c r="K58" s="114" t="inlineStr">
        <is>
          <t>same</t>
        </is>
      </c>
      <c r="L58" s="114" t="n"/>
      <c r="M58" s="121" t="n"/>
      <c r="N58" s="120" t="n">
        <v>55786</v>
      </c>
      <c r="O58" s="120" t="n">
        <v>55786</v>
      </c>
      <c r="P58" s="114" t="inlineStr">
        <is>
          <t>same</t>
        </is>
      </c>
      <c r="Q58" s="114" t="n"/>
      <c r="R58" s="121" t="n"/>
      <c r="S58" s="3" t="n"/>
      <c r="T58" s="3" t="n"/>
      <c r="U58" s="3" t="inlineStr">
        <is>
          <t>both unknown</t>
        </is>
      </c>
      <c r="V58" s="3" t="n"/>
      <c r="W58" s="123" t="n"/>
    </row>
    <row r="59">
      <c r="A59" s="3" t="inlineStr">
        <is>
          <t>Cherkessk</t>
        </is>
      </c>
      <c r="B59" s="3" t="inlineStr">
        <is>
          <t>Cherkessk</t>
        </is>
      </c>
      <c r="C59" s="3" t="inlineStr">
        <is>
          <t>Both</t>
        </is>
      </c>
      <c r="D59" s="5" t="n">
        <v>18</v>
      </c>
      <c r="E59" s="5" t="n">
        <v>0</v>
      </c>
      <c r="F59" s="114" t="inlineStr">
        <is>
          <t>Zexkhe</t>
        </is>
      </c>
      <c r="G59" s="114" t="inlineStr">
        <is>
          <t>Zexkhe</t>
        </is>
      </c>
      <c r="H59" s="114" t="inlineStr">
        <is>
          <t>same</t>
        </is>
      </c>
      <c r="I59" s="122" t="n">
        <v>499350.61</v>
      </c>
      <c r="J59" s="120" t="n">
        <v>499351</v>
      </c>
      <c r="K59" s="114" t="inlineStr">
        <is>
          <t>same</t>
        </is>
      </c>
      <c r="L59" s="114" t="n"/>
      <c r="M59" s="121" t="n"/>
      <c r="N59" s="120" t="n">
        <v>22500000</v>
      </c>
      <c r="O59" s="120" t="n">
        <v>22500000</v>
      </c>
      <c r="P59" s="114" t="inlineStr">
        <is>
          <t>same</t>
        </is>
      </c>
      <c r="Q59" s="114" t="n"/>
      <c r="R59" s="121" t="n"/>
      <c r="S59" s="120" t="n">
        <v>38500</v>
      </c>
      <c r="T59" s="120" t="n">
        <v>38500</v>
      </c>
      <c r="U59" s="114" t="inlineStr">
        <is>
          <t>same</t>
        </is>
      </c>
      <c r="V59" s="114" t="n"/>
      <c r="W59" s="121" t="n"/>
    </row>
    <row r="60">
      <c r="A60" s="3" t="inlineStr">
        <is>
          <t>Cristina</t>
        </is>
      </c>
      <c r="B60" s="3" t="inlineStr">
        <is>
          <t>Cristina</t>
        </is>
      </c>
      <c r="C60" s="3" t="inlineStr">
        <is>
          <t>Both</t>
        </is>
      </c>
      <c r="D60" s="5" t="n">
        <v>19</v>
      </c>
      <c r="E60" s="5" t="n">
        <v>0</v>
      </c>
      <c r="F60" s="114" t="inlineStr">
        <is>
          <t>Cristina</t>
        </is>
      </c>
      <c r="G60" s="114" t="inlineStr">
        <is>
          <t>Cristina</t>
        </is>
      </c>
      <c r="H60" s="114" t="inlineStr">
        <is>
          <t>same</t>
        </is>
      </c>
      <c r="I60" s="120" t="n">
        <v>1221</v>
      </c>
      <c r="J60" s="120" t="n">
        <v>1221</v>
      </c>
      <c r="K60" s="114" t="inlineStr">
        <is>
          <t>same</t>
        </is>
      </c>
      <c r="L60" s="114" t="n"/>
      <c r="M60" s="121" t="n"/>
      <c r="N60" s="120" t="n">
        <v>7453682</v>
      </c>
      <c r="O60" s="120" t="n">
        <v>7453682</v>
      </c>
      <c r="P60" s="114" t="inlineStr">
        <is>
          <t>same</t>
        </is>
      </c>
      <c r="Q60" s="114" t="n"/>
      <c r="R60" s="121" t="n"/>
      <c r="S60" s="120" t="n">
        <v>47306</v>
      </c>
      <c r="T60" s="120" t="n">
        <v>47306</v>
      </c>
      <c r="U60" s="114" t="inlineStr">
        <is>
          <t>same</t>
        </is>
      </c>
      <c r="V60" s="114" t="n"/>
      <c r="W60" s="121" t="n"/>
    </row>
    <row r="61">
      <c r="A61" s="3" t="inlineStr">
        <is>
          <t>Damak Var</t>
        </is>
      </c>
      <c r="B61" s="3" t="inlineStr">
        <is>
          <t>Damak-Var</t>
        </is>
      </c>
      <c r="C61" s="3" t="inlineStr">
        <is>
          <t>Both</t>
        </is>
      </c>
      <c r="D61" s="5" t="n">
        <v>20</v>
      </c>
      <c r="E61" s="5" t="n">
        <v>0</v>
      </c>
      <c r="F61" s="114" t="inlineStr">
        <is>
          <t>Avantine</t>
        </is>
      </c>
      <c r="G61" s="114" t="inlineStr">
        <is>
          <t>Avantine</t>
        </is>
      </c>
      <c r="H61" s="114" t="inlineStr">
        <is>
          <t>same</t>
        </is>
      </c>
      <c r="I61" s="122" t="n">
        <v>529088.75</v>
      </c>
      <c r="J61" s="120" t="n">
        <v>529089</v>
      </c>
      <c r="K61" s="114" t="inlineStr">
        <is>
          <t>same</t>
        </is>
      </c>
      <c r="L61" s="114" t="n"/>
      <c r="M61" s="121" t="n"/>
      <c r="N61" s="120" t="n">
        <v>15500000</v>
      </c>
      <c r="O61" s="120" t="n">
        <v>15500000</v>
      </c>
      <c r="P61" s="114" t="inlineStr">
        <is>
          <t>same</t>
        </is>
      </c>
      <c r="Q61" s="114" t="n"/>
      <c r="R61" s="121" t="n"/>
      <c r="S61" s="120" t="n">
        <v>5120</v>
      </c>
      <c r="T61" s="120" t="n">
        <v>5120</v>
      </c>
      <c r="U61" s="114" t="inlineStr">
        <is>
          <t>same</t>
        </is>
      </c>
      <c r="V61" s="114" t="n"/>
      <c r="W61" s="121" t="n"/>
    </row>
    <row r="62">
      <c r="A62" s="3" t="inlineStr">
        <is>
          <t>Deltannia</t>
        </is>
      </c>
      <c r="B62" s="3" t="inlineStr">
        <is>
          <t>Deltannia</t>
        </is>
      </c>
      <c r="C62" s="3" t="inlineStr">
        <is>
          <t>Both</t>
        </is>
      </c>
      <c r="D62" s="5" t="n">
        <v>21</v>
      </c>
      <c r="E62" s="5" t="n">
        <v>0</v>
      </c>
      <c r="F62" s="114" t="inlineStr">
        <is>
          <t>Delta</t>
        </is>
      </c>
      <c r="G62" s="114" t="inlineStr">
        <is>
          <t>Delta</t>
        </is>
      </c>
      <c r="H62" s="114" t="inlineStr">
        <is>
          <t>same</t>
        </is>
      </c>
      <c r="I62" s="120" t="n">
        <v>241838</v>
      </c>
      <c r="J62" s="120" t="n">
        <v>241838</v>
      </c>
      <c r="K62" s="114" t="inlineStr">
        <is>
          <t>same</t>
        </is>
      </c>
      <c r="L62" s="114" t="n"/>
      <c r="M62" s="121" t="n"/>
      <c r="N62" s="120" t="n">
        <v>5220000</v>
      </c>
      <c r="O62" s="120" t="n">
        <v>5220000</v>
      </c>
      <c r="P62" s="114" t="inlineStr">
        <is>
          <t>same</t>
        </is>
      </c>
      <c r="Q62" s="114" t="n"/>
      <c r="R62" s="121" t="n"/>
      <c r="S62" s="120" t="n">
        <v>12500</v>
      </c>
      <c r="T62" s="120" t="n">
        <v>12500</v>
      </c>
      <c r="U62" s="114" t="inlineStr">
        <is>
          <t>same</t>
        </is>
      </c>
      <c r="V62" s="114" t="n"/>
      <c r="W62" s="121" t="n"/>
    </row>
    <row r="63">
      <c r="A63" s="3" t="inlineStr">
        <is>
          <t>Dniester</t>
        </is>
      </c>
      <c r="B63" s="3" t="inlineStr">
        <is>
          <t>Dniester</t>
        </is>
      </c>
      <c r="C63" s="3" t="inlineStr">
        <is>
          <t>Both</t>
        </is>
      </c>
      <c r="D63" s="5" t="n">
        <v>23</v>
      </c>
      <c r="E63" s="5" t="n">
        <v>0</v>
      </c>
      <c r="F63" s="114" t="inlineStr">
        <is>
          <t>Minsk</t>
        </is>
      </c>
      <c r="G63" s="114" t="inlineStr">
        <is>
          <t>Minsk</t>
        </is>
      </c>
      <c r="H63" s="114" t="inlineStr">
        <is>
          <t>same</t>
        </is>
      </c>
      <c r="I63" s="120" t="n">
        <v>207600</v>
      </c>
      <c r="J63" s="120" t="n">
        <v>207600</v>
      </c>
      <c r="K63" s="114" t="inlineStr">
        <is>
          <t>same</t>
        </is>
      </c>
      <c r="L63" s="114" t="n"/>
      <c r="M63" s="121" t="n"/>
      <c r="N63" s="120" t="n">
        <v>40203000</v>
      </c>
      <c r="O63" s="120" t="n">
        <v>40203000</v>
      </c>
      <c r="P63" s="114" t="inlineStr">
        <is>
          <t>same</t>
        </is>
      </c>
      <c r="Q63" s="114" t="n"/>
      <c r="R63" s="121" t="n"/>
      <c r="S63" s="3" t="n"/>
      <c r="T63" s="3" t="n"/>
      <c r="U63" s="3" t="inlineStr">
        <is>
          <t>both unknown</t>
        </is>
      </c>
      <c r="V63" s="3" t="n"/>
      <c r="W63" s="123" t="n"/>
    </row>
    <row r="64">
      <c r="A64" s="3" t="inlineStr">
        <is>
          <t>Dolchland</t>
        </is>
      </c>
      <c r="B64" s="3" t="inlineStr">
        <is>
          <t>Dolchland</t>
        </is>
      </c>
      <c r="C64" s="3" t="inlineStr">
        <is>
          <t>Both</t>
        </is>
      </c>
      <c r="D64" s="5" t="n">
        <v>24</v>
      </c>
      <c r="E64" s="5" t="n">
        <v>0</v>
      </c>
      <c r="F64" s="114" t="inlineStr">
        <is>
          <t>Schlammburg</t>
        </is>
      </c>
      <c r="G64" s="114" t="inlineStr">
        <is>
          <t>Schlammburg</t>
        </is>
      </c>
      <c r="H64" s="114" t="inlineStr">
        <is>
          <t>same</t>
        </is>
      </c>
      <c r="I64" s="120" t="n">
        <v>328950</v>
      </c>
      <c r="J64" s="120" t="n">
        <v>328950</v>
      </c>
      <c r="K64" s="114" t="inlineStr">
        <is>
          <t>same</t>
        </is>
      </c>
      <c r="L64" s="114" t="n"/>
      <c r="M64" s="121" t="n"/>
      <c r="N64" s="120" t="n">
        <v>29283179</v>
      </c>
      <c r="O64" s="120" t="n">
        <v>29283179</v>
      </c>
      <c r="P64" s="114" t="inlineStr">
        <is>
          <t>same</t>
        </is>
      </c>
      <c r="Q64" s="114" t="n"/>
      <c r="R64" s="121" t="n"/>
      <c r="S64" s="120" t="n">
        <v>9903</v>
      </c>
      <c r="T64" s="120" t="n">
        <v>9903</v>
      </c>
      <c r="U64" s="114" t="inlineStr">
        <is>
          <t>same</t>
        </is>
      </c>
      <c r="V64" s="114" t="n"/>
      <c r="W64" s="121" t="n"/>
    </row>
    <row r="65">
      <c r="A65" s="3" t="inlineStr">
        <is>
          <t>Duchy of Verde</t>
        </is>
      </c>
      <c r="B65" s="3" t="inlineStr">
        <is>
          <t>Duchy-of-Verde</t>
        </is>
      </c>
      <c r="C65" s="3" t="inlineStr">
        <is>
          <t>Both</t>
        </is>
      </c>
      <c r="D65" s="5" t="n">
        <v>25</v>
      </c>
      <c r="E65" s="5" t="n">
        <v>0</v>
      </c>
      <c r="F65" s="114" t="inlineStr">
        <is>
          <t>Porto Verde</t>
        </is>
      </c>
      <c r="G65" s="114" t="inlineStr">
        <is>
          <t>Porto Verde</t>
        </is>
      </c>
      <c r="H65" s="114" t="inlineStr">
        <is>
          <t>same</t>
        </is>
      </c>
      <c r="I65" s="120" t="n">
        <v>23262</v>
      </c>
      <c r="J65" s="120" t="n">
        <v>23262</v>
      </c>
      <c r="K65" s="114" t="inlineStr">
        <is>
          <t>same</t>
        </is>
      </c>
      <c r="L65" s="114" t="n"/>
      <c r="M65" s="121" t="n"/>
      <c r="N65" s="120" t="n">
        <v>10009200</v>
      </c>
      <c r="O65" s="120" t="n">
        <v>10009200</v>
      </c>
      <c r="P65" s="114" t="inlineStr">
        <is>
          <t>same</t>
        </is>
      </c>
      <c r="Q65" s="114" t="n"/>
      <c r="R65" s="121" t="n"/>
      <c r="S65" s="122" t="n">
        <v>47955.88</v>
      </c>
      <c r="T65" s="120" t="n">
        <v>47956</v>
      </c>
      <c r="U65" s="114" t="inlineStr">
        <is>
          <t>same</t>
        </is>
      </c>
      <c r="V65" s="114" t="n"/>
      <c r="W65" s="121" t="n"/>
    </row>
    <row r="66">
      <c r="A66" s="3" t="inlineStr">
        <is>
          <t>Ealis</t>
        </is>
      </c>
      <c r="B66" s="3" t="inlineStr">
        <is>
          <t>Ealis</t>
        </is>
      </c>
      <c r="C66" s="3" t="inlineStr">
        <is>
          <t>Both</t>
        </is>
      </c>
      <c r="D66" s="5" t="n">
        <v>26</v>
      </c>
      <c r="E66" s="5" t="n">
        <v>0</v>
      </c>
      <c r="F66" s="114" t="inlineStr">
        <is>
          <t>Lysina</t>
        </is>
      </c>
      <c r="G66" s="114" t="inlineStr">
        <is>
          <t>Lysina</t>
        </is>
      </c>
      <c r="H66" s="114" t="inlineStr">
        <is>
          <t>same</t>
        </is>
      </c>
      <c r="I66" s="120" t="n">
        <v>285661</v>
      </c>
      <c r="J66" s="120" t="n">
        <v>285661</v>
      </c>
      <c r="K66" s="114" t="inlineStr">
        <is>
          <t>same</t>
        </is>
      </c>
      <c r="L66" s="114" t="n"/>
      <c r="M66" s="121" t="n"/>
      <c r="N66" s="120" t="n">
        <v>21085626</v>
      </c>
      <c r="O66" s="120" t="n">
        <v>21085626</v>
      </c>
      <c r="P66" s="114" t="inlineStr">
        <is>
          <t>same</t>
        </is>
      </c>
      <c r="Q66" s="114" t="n"/>
      <c r="R66" s="121" t="n"/>
      <c r="S66" s="120" t="n">
        <v>34000</v>
      </c>
      <c r="T66" s="120" t="n">
        <v>34000</v>
      </c>
      <c r="U66" s="114" t="inlineStr">
        <is>
          <t>same</t>
        </is>
      </c>
      <c r="V66" s="114" t="n"/>
      <c r="W66" s="121" t="n"/>
    </row>
    <row r="67">
      <c r="A67" s="3" t="inlineStr">
        <is>
          <t>Eidolmanta</t>
        </is>
      </c>
      <c r="B67" s="3" t="inlineStr">
        <is>
          <t>Eidolmanta</t>
        </is>
      </c>
      <c r="C67" s="3" t="inlineStr">
        <is>
          <t>Both</t>
        </is>
      </c>
      <c r="D67" s="5" t="n">
        <v>28</v>
      </c>
      <c r="E67" s="5" t="n">
        <v>0</v>
      </c>
      <c r="F67" s="114" t="inlineStr">
        <is>
          <t>Taraxippus</t>
        </is>
      </c>
      <c r="G67" s="114" t="inlineStr">
        <is>
          <t>Taraxippus</t>
        </is>
      </c>
      <c r="H67" s="114" t="inlineStr">
        <is>
          <t>same</t>
        </is>
      </c>
      <c r="I67" s="122" t="n">
        <v>279686.79</v>
      </c>
      <c r="J67" s="120" t="n">
        <v>279687</v>
      </c>
      <c r="K67" s="114" t="inlineStr">
        <is>
          <t>same</t>
        </is>
      </c>
      <c r="L67" s="114" t="n"/>
      <c r="M67" s="121" t="n"/>
      <c r="N67" s="120" t="n">
        <v>35382902</v>
      </c>
      <c r="O67" s="120" t="n">
        <v>35382902</v>
      </c>
      <c r="P67" s="114" t="inlineStr">
        <is>
          <t>same</t>
        </is>
      </c>
      <c r="Q67" s="114" t="n"/>
      <c r="R67" s="121" t="n"/>
      <c r="S67" s="120" t="n">
        <v>10409</v>
      </c>
      <c r="T67" s="120" t="n">
        <v>10409</v>
      </c>
      <c r="U67" s="114" t="inlineStr">
        <is>
          <t>same</t>
        </is>
      </c>
      <c r="V67" s="114" t="n"/>
      <c r="W67" s="121" t="n"/>
    </row>
    <row r="68">
      <c r="A68" s="3" t="inlineStr">
        <is>
          <t>Euandria</t>
        </is>
      </c>
      <c r="B68" s="3" t="inlineStr">
        <is>
          <t>Euandria</t>
        </is>
      </c>
      <c r="C68" s="3" t="inlineStr">
        <is>
          <t>Both</t>
        </is>
      </c>
      <c r="D68" s="5" t="n">
        <v>31</v>
      </c>
      <c r="E68" s="5" t="n">
        <v>0</v>
      </c>
      <c r="F68" s="114" t="inlineStr">
        <is>
          <t>Charpesiciun</t>
        </is>
      </c>
      <c r="G68" s="114" t="inlineStr">
        <is>
          <t>Charpesiciun</t>
        </is>
      </c>
      <c r="H68" s="114" t="inlineStr">
        <is>
          <t>same</t>
        </is>
      </c>
      <c r="I68" s="120" t="n">
        <v>125665</v>
      </c>
      <c r="J68" s="120" t="n">
        <v>125665</v>
      </c>
      <c r="K68" s="114" t="inlineStr">
        <is>
          <t>same</t>
        </is>
      </c>
      <c r="L68" s="114" t="n"/>
      <c r="M68" s="121" t="n"/>
      <c r="N68" s="120" t="n">
        <v>23389041</v>
      </c>
      <c r="O68" s="120" t="n">
        <v>23389041</v>
      </c>
      <c r="P68" s="114" t="inlineStr">
        <is>
          <t>same</t>
        </is>
      </c>
      <c r="Q68" s="114" t="n"/>
      <c r="R68" s="121" t="n"/>
      <c r="S68" s="120" t="n">
        <v>9335</v>
      </c>
      <c r="T68" s="120" t="n">
        <v>9335</v>
      </c>
      <c r="U68" s="114" t="inlineStr">
        <is>
          <t>same</t>
        </is>
      </c>
      <c r="V68" s="114" t="n"/>
      <c r="W68" s="121" t="n"/>
    </row>
    <row r="69">
      <c r="A69" s="3" t="inlineStr">
        <is>
          <t>Flaca Vul</t>
        </is>
      </c>
      <c r="B69" s="3" t="inlineStr">
        <is>
          <t>Flaca-Vul</t>
        </is>
      </c>
      <c r="C69" s="3" t="inlineStr">
        <is>
          <t>Both</t>
        </is>
      </c>
      <c r="D69" s="5" t="n">
        <v>32</v>
      </c>
      <c r="E69" s="5" t="n">
        <v>0</v>
      </c>
      <c r="F69" s="114" t="inlineStr">
        <is>
          <t>Cavult Metropolis</t>
        </is>
      </c>
      <c r="G69" s="114" t="inlineStr">
        <is>
          <t>Cavult Metropolis</t>
        </is>
      </c>
      <c r="H69" s="114" t="inlineStr">
        <is>
          <t>same</t>
        </is>
      </c>
      <c r="I69" s="122" t="n">
        <v>281238.97</v>
      </c>
      <c r="J69" s="120" t="n">
        <v>281239</v>
      </c>
      <c r="K69" s="114" t="inlineStr">
        <is>
          <t>same</t>
        </is>
      </c>
      <c r="L69" s="114" t="n"/>
      <c r="M69" s="121" t="n"/>
      <c r="N69" s="120" t="n">
        <v>49836821</v>
      </c>
      <c r="O69" s="120" t="n">
        <v>49836821</v>
      </c>
      <c r="P69" s="114" t="inlineStr">
        <is>
          <t>same</t>
        </is>
      </c>
      <c r="Q69" s="114" t="n"/>
      <c r="R69" s="121" t="n"/>
      <c r="S69" s="120" t="n">
        <v>29653</v>
      </c>
      <c r="T69" s="120" t="n">
        <v>29653</v>
      </c>
      <c r="U69" s="114" t="inlineStr">
        <is>
          <t>same</t>
        </is>
      </c>
      <c r="V69" s="114" t="n"/>
      <c r="W69" s="121" t="n"/>
    </row>
    <row r="70">
      <c r="A70" s="3" t="inlineStr">
        <is>
          <t>Florentia</t>
        </is>
      </c>
      <c r="B70" s="3" t="inlineStr">
        <is>
          <t>Florentia</t>
        </is>
      </c>
      <c r="C70" s="3" t="inlineStr">
        <is>
          <t>Both</t>
        </is>
      </c>
      <c r="D70" s="5" t="n">
        <v>33</v>
      </c>
      <c r="E70" s="5" t="n">
        <v>0</v>
      </c>
      <c r="F70" s="114" t="inlineStr">
        <is>
          <t>Montcharmin</t>
        </is>
      </c>
      <c r="G70" s="114" t="inlineStr">
        <is>
          <t>Montcharmin</t>
        </is>
      </c>
      <c r="H70" s="114" t="inlineStr">
        <is>
          <t>same</t>
        </is>
      </c>
      <c r="I70" s="120" t="n">
        <v>325000</v>
      </c>
      <c r="J70" s="120" t="n">
        <v>325000</v>
      </c>
      <c r="K70" s="114" t="inlineStr">
        <is>
          <t>same</t>
        </is>
      </c>
      <c r="L70" s="114" t="n"/>
      <c r="M70" s="121" t="n"/>
      <c r="N70" s="120" t="n">
        <v>26223000</v>
      </c>
      <c r="O70" s="120" t="n">
        <v>26223000</v>
      </c>
      <c r="P70" s="114" t="inlineStr">
        <is>
          <t>same</t>
        </is>
      </c>
      <c r="Q70" s="114" t="n"/>
      <c r="R70" s="121" t="n"/>
      <c r="S70" s="120" t="n">
        <v>10666</v>
      </c>
      <c r="T70" s="120" t="n">
        <v>10666</v>
      </c>
      <c r="U70" s="114" t="inlineStr">
        <is>
          <t>same</t>
        </is>
      </c>
      <c r="V70" s="114" t="n"/>
      <c r="W70" s="121" t="n"/>
    </row>
    <row r="71">
      <c r="A71" s="3" t="inlineStr">
        <is>
          <t>Gaellicia</t>
        </is>
      </c>
      <c r="B71" s="3" t="inlineStr">
        <is>
          <t>Gaellicia</t>
        </is>
      </c>
      <c r="C71" s="3" t="inlineStr">
        <is>
          <t>Both</t>
        </is>
      </c>
      <c r="D71" s="5" t="n">
        <v>34</v>
      </c>
      <c r="E71" s="5" t="n">
        <v>0</v>
      </c>
      <c r="F71" s="114" t="inlineStr">
        <is>
          <t>Penzance</t>
        </is>
      </c>
      <c r="G71" s="114" t="inlineStr">
        <is>
          <t>Penzance</t>
        </is>
      </c>
      <c r="H71" s="114" t="inlineStr">
        <is>
          <t>same</t>
        </is>
      </c>
      <c r="I71" s="120" t="n">
        <v>269300</v>
      </c>
      <c r="J71" s="120" t="n">
        <v>269300</v>
      </c>
      <c r="K71" s="114" t="inlineStr">
        <is>
          <t>same</t>
        </is>
      </c>
      <c r="L71" s="114" t="n"/>
      <c r="M71" s="121" t="n"/>
      <c r="N71" s="120" t="n">
        <v>28542321</v>
      </c>
      <c r="O71" s="120" t="n">
        <v>28542321</v>
      </c>
      <c r="P71" s="114" t="inlineStr">
        <is>
          <t>same</t>
        </is>
      </c>
      <c r="Q71" s="114" t="n"/>
      <c r="R71" s="121" t="n"/>
      <c r="S71" s="120" t="n">
        <v>10000</v>
      </c>
      <c r="T71" s="120" t="n">
        <v>10000</v>
      </c>
      <c r="U71" s="114" t="inlineStr">
        <is>
          <t>same</t>
        </is>
      </c>
      <c r="V71" s="114" t="n"/>
      <c r="W71" s="121" t="n"/>
    </row>
    <row r="72">
      <c r="A72" s="3" t="inlineStr">
        <is>
          <t>Galahinda</t>
        </is>
      </c>
      <c r="B72" s="3" t="inlineStr">
        <is>
          <t>Galahinda</t>
        </is>
      </c>
      <c r="C72" s="3" t="inlineStr">
        <is>
          <t>Both</t>
        </is>
      </c>
      <c r="D72" s="5" t="n">
        <v>35</v>
      </c>
      <c r="E72" s="5" t="n">
        <v>0</v>
      </c>
      <c r="F72" s="114" t="inlineStr">
        <is>
          <t>Cascadia</t>
        </is>
      </c>
      <c r="G72" s="114" t="inlineStr">
        <is>
          <t>Cascadia</t>
        </is>
      </c>
      <c r="H72" s="114" t="inlineStr">
        <is>
          <t>same</t>
        </is>
      </c>
      <c r="I72" s="122" t="n">
        <v>17338.17</v>
      </c>
      <c r="J72" s="120" t="n">
        <v>17338</v>
      </c>
      <c r="K72" s="114" t="inlineStr">
        <is>
          <t>same</t>
        </is>
      </c>
      <c r="L72" s="114" t="n"/>
      <c r="M72" s="121" t="n"/>
      <c r="N72" s="120" t="n">
        <v>9517000</v>
      </c>
      <c r="O72" s="120" t="n">
        <v>9517000</v>
      </c>
      <c r="P72" s="114" t="inlineStr">
        <is>
          <t>same</t>
        </is>
      </c>
      <c r="Q72" s="114" t="n"/>
      <c r="R72" s="121" t="n"/>
      <c r="S72" s="3" t="n"/>
      <c r="T72" s="3" t="n"/>
      <c r="U72" s="3" t="inlineStr">
        <is>
          <t>both unknown</t>
        </is>
      </c>
      <c r="V72" s="3" t="n"/>
      <c r="W72" s="123" t="n"/>
    </row>
    <row r="73">
      <c r="A73" s="3" t="inlineStr">
        <is>
          <t>Galicia</t>
        </is>
      </c>
      <c r="B73" s="3" t="inlineStr">
        <is>
          <t>Galicia</t>
        </is>
      </c>
      <c r="C73" s="3" t="inlineStr">
        <is>
          <t>Both</t>
        </is>
      </c>
      <c r="D73" s="5" t="n">
        <v>36</v>
      </c>
      <c r="E73" s="5" t="n">
        <v>0</v>
      </c>
      <c r="F73" s="114" t="inlineStr">
        <is>
          <t>Porto D'Galo</t>
        </is>
      </c>
      <c r="G73" s="114" t="inlineStr">
        <is>
          <t>Porto D'Galo</t>
        </is>
      </c>
      <c r="H73" s="114" t="inlineStr">
        <is>
          <t>same</t>
        </is>
      </c>
      <c r="I73" s="120" t="n">
        <v>75764</v>
      </c>
      <c r="J73" s="120" t="n">
        <v>75764</v>
      </c>
      <c r="K73" s="114" t="inlineStr">
        <is>
          <t>same</t>
        </is>
      </c>
      <c r="L73" s="114" t="n"/>
      <c r="M73" s="121" t="n"/>
      <c r="N73" s="120" t="n">
        <v>18344760</v>
      </c>
      <c r="O73" s="120" t="n">
        <v>18344760</v>
      </c>
      <c r="P73" s="114" t="inlineStr">
        <is>
          <t>same</t>
        </is>
      </c>
      <c r="Q73" s="114" t="n"/>
      <c r="R73" s="121" t="n"/>
      <c r="S73" s="120" t="n">
        <v>33797</v>
      </c>
      <c r="T73" s="120" t="n">
        <v>33797</v>
      </c>
      <c r="U73" s="114" t="inlineStr">
        <is>
          <t>same</t>
        </is>
      </c>
      <c r="V73" s="114" t="n"/>
      <c r="W73" s="121" t="n"/>
    </row>
    <row r="74">
      <c r="A74" s="3" t="inlineStr">
        <is>
          <t>Gallambria</t>
        </is>
      </c>
      <c r="B74" s="3" t="inlineStr">
        <is>
          <t>Gallambria</t>
        </is>
      </c>
      <c r="C74" s="3" t="inlineStr">
        <is>
          <t>Both</t>
        </is>
      </c>
      <c r="D74" s="5" t="n">
        <v>37</v>
      </c>
      <c r="E74" s="5" t="n">
        <v>0</v>
      </c>
      <c r="F74" s="114" t="inlineStr">
        <is>
          <t>Bromwich</t>
        </is>
      </c>
      <c r="G74" s="114" t="inlineStr">
        <is>
          <t>Bromwich</t>
        </is>
      </c>
      <c r="H74" s="114" t="inlineStr">
        <is>
          <t>same</t>
        </is>
      </c>
      <c r="I74" s="120" t="n">
        <v>506052</v>
      </c>
      <c r="J74" s="120" t="n">
        <v>506052</v>
      </c>
      <c r="K74" s="114" t="inlineStr">
        <is>
          <t>same</t>
        </is>
      </c>
      <c r="L74" s="114" t="n"/>
      <c r="M74" s="121" t="n"/>
      <c r="N74" s="120" t="n">
        <v>57990240</v>
      </c>
      <c r="O74" s="120" t="n">
        <v>57990240</v>
      </c>
      <c r="P74" s="114" t="inlineStr">
        <is>
          <t>same</t>
        </is>
      </c>
      <c r="Q74" s="114" t="n"/>
      <c r="R74" s="121" t="n"/>
      <c r="S74" s="120" t="n">
        <v>49927</v>
      </c>
      <c r="T74" s="120" t="n">
        <v>49927</v>
      </c>
      <c r="U74" s="114" t="inlineStr">
        <is>
          <t>same</t>
        </is>
      </c>
      <c r="V74" s="114" t="n"/>
      <c r="W74" s="121" t="n"/>
    </row>
    <row r="75">
      <c r="A75" s="3" t="inlineStr">
        <is>
          <t>Giokto</t>
        </is>
      </c>
      <c r="B75" s="3" t="inlineStr">
        <is>
          <t>Giokto</t>
        </is>
      </c>
      <c r="C75" s="3" t="inlineStr">
        <is>
          <t>Both</t>
        </is>
      </c>
      <c r="D75" s="5" t="n">
        <v>39</v>
      </c>
      <c r="E75" s="5" t="n">
        <v>0</v>
      </c>
      <c r="F75" s="114" t="inlineStr">
        <is>
          <t>Saipuo</t>
        </is>
      </c>
      <c r="G75" s="114" t="inlineStr">
        <is>
          <t>Saipuo</t>
        </is>
      </c>
      <c r="H75" s="114" t="inlineStr">
        <is>
          <t>same</t>
        </is>
      </c>
      <c r="I75" s="122" t="n">
        <v>31514.02</v>
      </c>
      <c r="J75" s="120" t="n">
        <v>31514</v>
      </c>
      <c r="K75" s="114" t="inlineStr">
        <is>
          <t>same</t>
        </is>
      </c>
      <c r="L75" s="114" t="n"/>
      <c r="M75" s="121" t="n"/>
      <c r="N75" s="120" t="n">
        <v>10278427</v>
      </c>
      <c r="O75" s="120" t="n">
        <v>10278427</v>
      </c>
      <c r="P75" s="114" t="inlineStr">
        <is>
          <t>same</t>
        </is>
      </c>
      <c r="Q75" s="114" t="n"/>
      <c r="R75" s="121" t="n"/>
      <c r="S75" s="120" t="n">
        <v>30600</v>
      </c>
      <c r="T75" s="120" t="n">
        <v>30600</v>
      </c>
      <c r="U75" s="114" t="inlineStr">
        <is>
          <t>same</t>
        </is>
      </c>
      <c r="V75" s="114" t="n"/>
      <c r="W75" s="121" t="n"/>
    </row>
    <row r="76">
      <c r="A76" s="3" t="inlineStr">
        <is>
          <t>Girkmand</t>
        </is>
      </c>
      <c r="B76" s="3" t="inlineStr">
        <is>
          <t>Girkmand</t>
        </is>
      </c>
      <c r="C76" s="3" t="inlineStr">
        <is>
          <t>Both</t>
        </is>
      </c>
      <c r="D76" s="5" t="n">
        <v>40</v>
      </c>
      <c r="E76" s="5" t="n">
        <v>0</v>
      </c>
      <c r="F76" s="114" t="inlineStr">
        <is>
          <t>Girk</t>
        </is>
      </c>
      <c r="G76" s="114" t="inlineStr">
        <is>
          <t>Girk</t>
        </is>
      </c>
      <c r="H76" s="114" t="inlineStr">
        <is>
          <t>same</t>
        </is>
      </c>
      <c r="I76" s="122" t="n">
        <v>72444.23</v>
      </c>
      <c r="J76" s="120" t="n">
        <v>72444</v>
      </c>
      <c r="K76" s="114" t="inlineStr">
        <is>
          <t>same</t>
        </is>
      </c>
      <c r="L76" s="114" t="n"/>
      <c r="M76" s="121" t="n"/>
      <c r="N76" s="120" t="n">
        <v>6200000</v>
      </c>
      <c r="O76" s="120" t="n">
        <v>6200000</v>
      </c>
      <c r="P76" s="114" t="inlineStr">
        <is>
          <t>same</t>
        </is>
      </c>
      <c r="Q76" s="114" t="n"/>
      <c r="R76" s="121" t="n"/>
      <c r="S76" s="120" t="n">
        <v>41936</v>
      </c>
      <c r="T76" s="120" t="n">
        <v>41936</v>
      </c>
      <c r="U76" s="114" t="inlineStr">
        <is>
          <t>same</t>
        </is>
      </c>
      <c r="V76" s="114" t="n"/>
      <c r="W76" s="121" t="n"/>
    </row>
    <row r="77">
      <c r="A77" s="3" t="inlineStr">
        <is>
          <t>Great Anglia</t>
        </is>
      </c>
      <c r="B77" s="3" t="inlineStr">
        <is>
          <t>Great-Anglia</t>
        </is>
      </c>
      <c r="C77" s="3" t="inlineStr">
        <is>
          <t>Both</t>
        </is>
      </c>
      <c r="D77" s="5" t="n">
        <v>42</v>
      </c>
      <c r="E77" s="5" t="n">
        <v>0</v>
      </c>
      <c r="F77" s="114" t="inlineStr">
        <is>
          <t>Godstone</t>
        </is>
      </c>
      <c r="G77" s="114" t="inlineStr">
        <is>
          <t>Godstone</t>
        </is>
      </c>
      <c r="H77" s="114" t="inlineStr">
        <is>
          <t>same</t>
        </is>
      </c>
      <c r="I77" s="120" t="n">
        <v>242495</v>
      </c>
      <c r="J77" s="120" t="n">
        <v>242495</v>
      </c>
      <c r="K77" s="114" t="inlineStr">
        <is>
          <t>same</t>
        </is>
      </c>
      <c r="L77" s="114" t="n"/>
      <c r="M77" s="121" t="n"/>
      <c r="N77" s="120" t="n">
        <v>109734597</v>
      </c>
      <c r="O77" s="120" t="n">
        <v>109734597</v>
      </c>
      <c r="P77" s="114" t="inlineStr">
        <is>
          <t>same</t>
        </is>
      </c>
      <c r="Q77" s="114" t="n"/>
      <c r="R77" s="121" t="n"/>
      <c r="S77" s="120" t="n">
        <v>38580</v>
      </c>
      <c r="T77" s="120" t="n">
        <v>38580</v>
      </c>
      <c r="U77" s="114" t="inlineStr">
        <is>
          <t>same</t>
        </is>
      </c>
      <c r="V77" s="114" t="n"/>
      <c r="W77" s="121" t="n"/>
    </row>
    <row r="78">
      <c r="A78" s="3" t="inlineStr">
        <is>
          <t>Great Mèdia</t>
        </is>
      </c>
      <c r="B78" s="3" t="inlineStr">
        <is>
          <t>Great-Media</t>
        </is>
      </c>
      <c r="C78" s="3" t="inlineStr">
        <is>
          <t>Both</t>
        </is>
      </c>
      <c r="D78" s="5" t="n">
        <v>43</v>
      </c>
      <c r="E78" s="5" t="n">
        <v>0</v>
      </c>
      <c r="F78" s="114" t="inlineStr">
        <is>
          <t>Mèdopolis</t>
        </is>
      </c>
      <c r="G78" s="114" t="inlineStr">
        <is>
          <t>Mèdopolis</t>
        </is>
      </c>
      <c r="H78" s="114" t="inlineStr">
        <is>
          <t>same</t>
        </is>
      </c>
      <c r="I78" s="120" t="n">
        <v>399550</v>
      </c>
      <c r="J78" s="120" t="n">
        <v>399550</v>
      </c>
      <c r="K78" s="114" t="inlineStr">
        <is>
          <t>same</t>
        </is>
      </c>
      <c r="L78" s="114" t="n"/>
      <c r="M78" s="121" t="n"/>
      <c r="N78" s="120" t="n">
        <v>23136456</v>
      </c>
      <c r="O78" s="120" t="n">
        <v>23136456</v>
      </c>
      <c r="P78" s="114" t="inlineStr">
        <is>
          <t>same</t>
        </is>
      </c>
      <c r="Q78" s="114" t="n"/>
      <c r="R78" s="121" t="n"/>
      <c r="S78" s="120" t="n">
        <v>15123</v>
      </c>
      <c r="T78" s="120" t="n">
        <v>15123</v>
      </c>
      <c r="U78" s="114" t="inlineStr">
        <is>
          <t>same</t>
        </is>
      </c>
      <c r="V78" s="114" t="n"/>
      <c r="W78" s="121" t="n"/>
    </row>
    <row r="79">
      <c r="A79" s="3" t="inlineStr">
        <is>
          <t>Hexanesa</t>
        </is>
      </c>
      <c r="B79" s="3" t="inlineStr">
        <is>
          <t>Hexanesa</t>
        </is>
      </c>
      <c r="C79" s="3" t="inlineStr">
        <is>
          <t>Both</t>
        </is>
      </c>
      <c r="D79" s="5" t="n">
        <v>45</v>
      </c>
      <c r="E79" s="5" t="n">
        <v>0</v>
      </c>
      <c r="F79" s="114" t="inlineStr">
        <is>
          <t>Gournaion</t>
        </is>
      </c>
      <c r="G79" s="114" t="inlineStr">
        <is>
          <t>Gournaion</t>
        </is>
      </c>
      <c r="H79" s="114" t="inlineStr">
        <is>
          <t>same</t>
        </is>
      </c>
      <c r="I79" s="122" t="n">
        <v>72789.65999999999</v>
      </c>
      <c r="J79" s="120" t="n">
        <v>72790</v>
      </c>
      <c r="K79" s="114" t="inlineStr">
        <is>
          <t>same</t>
        </is>
      </c>
      <c r="L79" s="114" t="n"/>
      <c r="M79" s="121" t="n"/>
      <c r="N79" s="120" t="n">
        <v>216510</v>
      </c>
      <c r="O79" s="120" t="n">
        <v>216510</v>
      </c>
      <c r="P79" s="114" t="inlineStr">
        <is>
          <t>same</t>
        </is>
      </c>
      <c r="Q79" s="114" t="n"/>
      <c r="R79" s="121" t="n"/>
      <c r="S79" s="120" t="n">
        <v>5065</v>
      </c>
      <c r="T79" s="120" t="n">
        <v>5065</v>
      </c>
      <c r="U79" s="114" t="inlineStr">
        <is>
          <t>same</t>
        </is>
      </c>
      <c r="V79" s="114" t="n"/>
      <c r="W79" s="121" t="n"/>
    </row>
    <row r="80">
      <c r="A80" s="3" t="inlineStr">
        <is>
          <t>Ide Jima</t>
        </is>
      </c>
      <c r="B80" s="3" t="inlineStr">
        <is>
          <t>Ide-Jima</t>
        </is>
      </c>
      <c r="C80" s="3" t="inlineStr">
        <is>
          <t>Both</t>
        </is>
      </c>
      <c r="D80" s="5" t="n">
        <v>46</v>
      </c>
      <c r="E80" s="5" t="n">
        <v>0</v>
      </c>
      <c r="F80" s="114" t="inlineStr">
        <is>
          <t>Darhan</t>
        </is>
      </c>
      <c r="G80" s="114" t="inlineStr">
        <is>
          <t>Darhan</t>
        </is>
      </c>
      <c r="H80" s="114" t="inlineStr">
        <is>
          <t>same</t>
        </is>
      </c>
      <c r="I80" s="120" t="n">
        <v>930939</v>
      </c>
      <c r="J80" s="120" t="n">
        <v>930939</v>
      </c>
      <c r="K80" s="114" t="inlineStr">
        <is>
          <t>same</t>
        </is>
      </c>
      <c r="L80" s="114" t="n"/>
      <c r="M80" s="121" t="n"/>
      <c r="N80" s="120" t="n">
        <v>152400000</v>
      </c>
      <c r="O80" s="120" t="n">
        <v>152400000</v>
      </c>
      <c r="P80" s="114" t="inlineStr">
        <is>
          <t>same</t>
        </is>
      </c>
      <c r="Q80" s="114" t="n"/>
      <c r="R80" s="121" t="n"/>
      <c r="S80" s="120" t="n">
        <v>13687</v>
      </c>
      <c r="T80" s="120" t="n">
        <v>13687</v>
      </c>
      <c r="U80" s="114" t="inlineStr">
        <is>
          <t>same</t>
        </is>
      </c>
      <c r="V80" s="114" t="n"/>
      <c r="W80" s="121" t="n"/>
    </row>
    <row r="81">
      <c r="A81" s="3" t="inlineStr">
        <is>
          <t>Iwenland</t>
        </is>
      </c>
      <c r="B81" s="3" t="inlineStr">
        <is>
          <t>Iwenland</t>
        </is>
      </c>
      <c r="C81" s="3" t="inlineStr">
        <is>
          <t>Both</t>
        </is>
      </c>
      <c r="D81" s="5" t="n">
        <v>49</v>
      </c>
      <c r="E81" s="5" t="n">
        <v>0</v>
      </c>
      <c r="F81" s="114" t="inlineStr">
        <is>
          <t>Zestrathaven</t>
        </is>
      </c>
      <c r="G81" s="114" t="inlineStr">
        <is>
          <t>Zestrathaven</t>
        </is>
      </c>
      <c r="H81" s="114" t="inlineStr">
        <is>
          <t>same</t>
        </is>
      </c>
      <c r="I81" s="122" t="n">
        <v>2112.63</v>
      </c>
      <c r="J81" s="120" t="n">
        <v>2113</v>
      </c>
      <c r="K81" s="114" t="inlineStr">
        <is>
          <t>same</t>
        </is>
      </c>
      <c r="L81" s="114" t="n"/>
      <c r="M81" s="121" t="n"/>
      <c r="N81" s="120" t="n">
        <v>1200000</v>
      </c>
      <c r="O81" s="120" t="n">
        <v>1200000</v>
      </c>
      <c r="P81" s="114" t="inlineStr">
        <is>
          <t>same</t>
        </is>
      </c>
      <c r="Q81" s="114" t="n"/>
      <c r="R81" s="121" t="n"/>
      <c r="S81" s="120" t="n">
        <v>17000</v>
      </c>
      <c r="T81" s="120" t="n">
        <v>17000</v>
      </c>
      <c r="U81" s="114" t="inlineStr">
        <is>
          <t>same</t>
        </is>
      </c>
      <c r="V81" s="114" t="n"/>
      <c r="W81" s="121" t="n"/>
    </row>
    <row r="82">
      <c r="A82" s="3" t="inlineStr">
        <is>
          <t>Kalnija</t>
        </is>
      </c>
      <c r="B82" s="3" t="inlineStr">
        <is>
          <t>Kalnija</t>
        </is>
      </c>
      <c r="C82" s="3" t="inlineStr">
        <is>
          <t>Both</t>
        </is>
      </c>
      <c r="D82" s="5" t="n">
        <v>50</v>
      </c>
      <c r="E82" s="5" t="n">
        <v>0</v>
      </c>
      <c r="F82" s="114" t="inlineStr">
        <is>
          <t>Grobija</t>
        </is>
      </c>
      <c r="G82" s="114" t="inlineStr">
        <is>
          <t>Grobija</t>
        </is>
      </c>
      <c r="H82" s="114" t="inlineStr">
        <is>
          <t>same</t>
        </is>
      </c>
      <c r="I82" s="122" t="n">
        <v>53830.95</v>
      </c>
      <c r="J82" s="120" t="n">
        <v>53831</v>
      </c>
      <c r="K82" s="114" t="inlineStr">
        <is>
          <t>same</t>
        </is>
      </c>
      <c r="L82" s="114" t="n"/>
      <c r="M82" s="121" t="n"/>
      <c r="N82" s="120" t="n">
        <v>3231421</v>
      </c>
      <c r="O82" s="120" t="n">
        <v>3231421</v>
      </c>
      <c r="P82" s="114" t="inlineStr">
        <is>
          <t>same</t>
        </is>
      </c>
      <c r="Q82" s="114" t="n"/>
      <c r="R82" s="121" t="n"/>
      <c r="S82" s="120" t="n">
        <v>14777</v>
      </c>
      <c r="T82" s="120" t="n">
        <v>14777</v>
      </c>
      <c r="U82" s="114" t="inlineStr">
        <is>
          <t>same</t>
        </is>
      </c>
      <c r="V82" s="114" t="n"/>
      <c r="W82" s="121" t="n"/>
    </row>
    <row r="83">
      <c r="A83" s="3" t="inlineStr">
        <is>
          <t>Kotowari</t>
        </is>
      </c>
      <c r="B83" s="3" t="inlineStr">
        <is>
          <t>Kotowari</t>
        </is>
      </c>
      <c r="C83" s="3" t="inlineStr">
        <is>
          <t>Both</t>
        </is>
      </c>
      <c r="D83" s="5" t="n">
        <v>55</v>
      </c>
      <c r="E83" s="5" t="n">
        <v>0</v>
      </c>
      <c r="F83" s="114" t="inlineStr">
        <is>
          <t>Kotowari City</t>
        </is>
      </c>
      <c r="G83" s="114" t="inlineStr">
        <is>
          <t>Kotowari City</t>
        </is>
      </c>
      <c r="H83" s="114" t="inlineStr">
        <is>
          <t>same</t>
        </is>
      </c>
      <c r="I83" s="120" t="n">
        <v>625596</v>
      </c>
      <c r="J83" s="120" t="n">
        <v>625596</v>
      </c>
      <c r="K83" s="114" t="inlineStr">
        <is>
          <t>same</t>
        </is>
      </c>
      <c r="L83" s="114" t="n"/>
      <c r="M83" s="121" t="n"/>
      <c r="N83" s="120" t="n">
        <v>52860000</v>
      </c>
      <c r="O83" s="120" t="n">
        <v>52860000</v>
      </c>
      <c r="P83" s="114" t="inlineStr">
        <is>
          <t>same</t>
        </is>
      </c>
      <c r="Q83" s="114" t="n"/>
      <c r="R83" s="121" t="n"/>
      <c r="S83" s="3" t="n"/>
      <c r="T83" s="3" t="n"/>
      <c r="U83" s="3" t="inlineStr">
        <is>
          <t>both unknown</t>
        </is>
      </c>
      <c r="V83" s="3" t="n"/>
      <c r="W83" s="123" t="n"/>
    </row>
    <row r="84">
      <c r="A84" s="3" t="inlineStr">
        <is>
          <t>Kíziáuke</t>
        </is>
      </c>
      <c r="B84" s="3" t="inlineStr">
        <is>
          <t>Kiziauke</t>
        </is>
      </c>
      <c r="C84" s="3" t="inlineStr">
        <is>
          <t>Both</t>
        </is>
      </c>
      <c r="D84" s="5" t="n">
        <v>52</v>
      </c>
      <c r="E84" s="5" t="n">
        <v>0</v>
      </c>
      <c r="F84" s="114" t="inlineStr">
        <is>
          <t>Pachetan</t>
        </is>
      </c>
      <c r="G84" s="114" t="inlineStr">
        <is>
          <t>Pachetan</t>
        </is>
      </c>
      <c r="H84" s="114" t="inlineStr">
        <is>
          <t>same</t>
        </is>
      </c>
      <c r="I84" s="120" t="n">
        <v>222000</v>
      </c>
      <c r="J84" s="120" t="n">
        <v>222000</v>
      </c>
      <c r="K84" s="114" t="inlineStr">
        <is>
          <t>same</t>
        </is>
      </c>
      <c r="L84" s="114" t="n"/>
      <c r="M84" s="121" t="n"/>
      <c r="N84" s="120" t="n">
        <v>48132950</v>
      </c>
      <c r="O84" s="120" t="n">
        <v>48132950</v>
      </c>
      <c r="P84" s="114" t="inlineStr">
        <is>
          <t>same</t>
        </is>
      </c>
      <c r="Q84" s="114" t="n"/>
      <c r="R84" s="121" t="n"/>
      <c r="S84" s="120" t="n">
        <v>39916</v>
      </c>
      <c r="T84" s="120" t="n">
        <v>39916</v>
      </c>
      <c r="U84" s="114" t="inlineStr">
        <is>
          <t>same</t>
        </is>
      </c>
      <c r="V84" s="114" t="n"/>
      <c r="W84" s="121" t="n"/>
    </row>
    <row r="85">
      <c r="A85" s="3" t="inlineStr">
        <is>
          <t>Kōri-Chi</t>
        </is>
      </c>
      <c r="B85" s="3" t="inlineStr">
        <is>
          <t>Kori-Chi</t>
        </is>
      </c>
      <c r="C85" s="3" t="inlineStr">
        <is>
          <t>Both</t>
        </is>
      </c>
      <c r="D85" s="5" t="n">
        <v>54</v>
      </c>
      <c r="E85" s="5" t="n">
        <v>0</v>
      </c>
      <c r="F85" s="114" t="inlineStr">
        <is>
          <t>Dākuōku</t>
        </is>
      </c>
      <c r="G85" s="114" t="inlineStr">
        <is>
          <t>Dākuōku</t>
        </is>
      </c>
      <c r="H85" s="114" t="inlineStr">
        <is>
          <t>same</t>
        </is>
      </c>
      <c r="I85" s="122" t="n">
        <v>312187.24</v>
      </c>
      <c r="J85" s="120" t="n">
        <v>312187</v>
      </c>
      <c r="K85" s="114" t="inlineStr">
        <is>
          <t>same</t>
        </is>
      </c>
      <c r="L85" s="114" t="n"/>
      <c r="M85" s="121" t="n"/>
      <c r="N85" s="120" t="n">
        <v>40000000</v>
      </c>
      <c r="O85" s="120" t="n">
        <v>40000000</v>
      </c>
      <c r="P85" s="114" t="inlineStr">
        <is>
          <t>same</t>
        </is>
      </c>
      <c r="Q85" s="114" t="n"/>
      <c r="R85" s="121" t="n"/>
      <c r="S85" s="120" t="n">
        <v>5400</v>
      </c>
      <c r="T85" s="120" t="n">
        <v>5400</v>
      </c>
      <c r="U85" s="114" t="inlineStr">
        <is>
          <t>same</t>
        </is>
      </c>
      <c r="V85" s="114" t="n"/>
      <c r="W85" s="121" t="n"/>
    </row>
    <row r="86">
      <c r="A86" s="3" t="inlineStr">
        <is>
          <t>Llalta</t>
        </is>
      </c>
      <c r="B86" s="3" t="inlineStr">
        <is>
          <t>Llalta</t>
        </is>
      </c>
      <c r="C86" s="3" t="inlineStr">
        <is>
          <t>Both</t>
        </is>
      </c>
      <c r="D86" s="5" t="n">
        <v>56</v>
      </c>
      <c r="E86" s="5" t="n">
        <v>0</v>
      </c>
      <c r="F86" s="114" t="inlineStr">
        <is>
          <t>Saint Christopher</t>
        </is>
      </c>
      <c r="G86" s="114" t="inlineStr">
        <is>
          <t>Saint Christopher</t>
        </is>
      </c>
      <c r="H86" s="114" t="inlineStr">
        <is>
          <t>same</t>
        </is>
      </c>
      <c r="I86" s="120" t="n">
        <v>3076</v>
      </c>
      <c r="J86" s="120" t="n">
        <v>3076</v>
      </c>
      <c r="K86" s="114" t="inlineStr">
        <is>
          <t>same</t>
        </is>
      </c>
      <c r="L86" s="114" t="n"/>
      <c r="M86" s="121" t="n"/>
      <c r="N86" s="120" t="n">
        <v>3136</v>
      </c>
      <c r="O86" s="120" t="n">
        <v>3136</v>
      </c>
      <c r="P86" s="114" t="inlineStr">
        <is>
          <t>same</t>
        </is>
      </c>
      <c r="Q86" s="114" t="n"/>
      <c r="R86" s="121" t="n"/>
      <c r="S86" s="120" t="n">
        <v>37628</v>
      </c>
      <c r="T86" s="120" t="n">
        <v>37628</v>
      </c>
      <c r="U86" s="114" t="inlineStr">
        <is>
          <t>same</t>
        </is>
      </c>
      <c r="V86" s="114" t="n"/>
      <c r="W86" s="121" t="n"/>
    </row>
    <row r="87">
      <c r="A87" s="3" t="inlineStr">
        <is>
          <t>Luterna</t>
        </is>
      </c>
      <c r="B87" s="3" t="inlineStr">
        <is>
          <t>Luterna</t>
        </is>
      </c>
      <c r="C87" s="3" t="inlineStr">
        <is>
          <t>Both</t>
        </is>
      </c>
      <c r="D87" s="5" t="n">
        <v>57</v>
      </c>
      <c r="E87" s="5" t="n">
        <v>0</v>
      </c>
      <c r="F87" s="114" t="inlineStr">
        <is>
          <t>Valiennes</t>
        </is>
      </c>
      <c r="G87" s="114" t="inlineStr">
        <is>
          <t>Valiennes</t>
        </is>
      </c>
      <c r="H87" s="114" t="inlineStr">
        <is>
          <t>same</t>
        </is>
      </c>
      <c r="I87" s="122" t="n">
        <v>220604.34</v>
      </c>
      <c r="J87" s="120" t="n">
        <v>220604</v>
      </c>
      <c r="K87" s="114" t="inlineStr">
        <is>
          <t>same</t>
        </is>
      </c>
      <c r="L87" s="114" t="n"/>
      <c r="M87" s="121" t="n"/>
      <c r="N87" s="120" t="n">
        <v>22560000</v>
      </c>
      <c r="O87" s="120" t="n">
        <v>22560000</v>
      </c>
      <c r="P87" s="114" t="inlineStr">
        <is>
          <t>same</t>
        </is>
      </c>
      <c r="Q87" s="114" t="n"/>
      <c r="R87" s="121" t="n"/>
      <c r="S87" s="120" t="n">
        <v>17800</v>
      </c>
      <c r="T87" s="120" t="n">
        <v>17800</v>
      </c>
      <c r="U87" s="114" t="inlineStr">
        <is>
          <t>same</t>
        </is>
      </c>
      <c r="V87" s="114" t="n"/>
      <c r="W87" s="121" t="n"/>
    </row>
    <row r="88">
      <c r="A88" s="3" t="inlineStr">
        <is>
          <t>Lysia</t>
        </is>
      </c>
      <c r="B88" s="3" t="inlineStr">
        <is>
          <t>Lysia</t>
        </is>
      </c>
      <c r="C88" s="3" t="inlineStr">
        <is>
          <t>Both</t>
        </is>
      </c>
      <c r="D88" s="5" t="n">
        <v>58</v>
      </c>
      <c r="E88" s="5" t="n">
        <v>0</v>
      </c>
      <c r="F88" s="114" t="inlineStr">
        <is>
          <t>Couer</t>
        </is>
      </c>
      <c r="G88" s="114" t="inlineStr">
        <is>
          <t>Couer</t>
        </is>
      </c>
      <c r="H88" s="114" t="inlineStr">
        <is>
          <t>same</t>
        </is>
      </c>
      <c r="I88" s="120" t="n">
        <v>466895</v>
      </c>
      <c r="J88" s="120" t="n">
        <v>466895</v>
      </c>
      <c r="K88" s="114" t="inlineStr">
        <is>
          <t>same</t>
        </is>
      </c>
      <c r="L88" s="114" t="n"/>
      <c r="M88" s="121" t="n"/>
      <c r="N88" s="120" t="n">
        <v>20372959</v>
      </c>
      <c r="O88" s="120" t="n">
        <v>20372959</v>
      </c>
      <c r="P88" s="114" t="inlineStr">
        <is>
          <t>same</t>
        </is>
      </c>
      <c r="Q88" s="114" t="n"/>
      <c r="R88" s="121" t="n"/>
      <c r="S88" s="122" t="n">
        <v>19347.07</v>
      </c>
      <c r="T88" s="120" t="n">
        <v>19347</v>
      </c>
      <c r="U88" s="114" t="inlineStr">
        <is>
          <t>same</t>
        </is>
      </c>
      <c r="V88" s="114" t="n"/>
      <c r="W88" s="121" t="n"/>
    </row>
    <row r="89">
      <c r="A89" s="3" t="inlineStr">
        <is>
          <t>Manamana</t>
        </is>
      </c>
      <c r="B89" s="3" t="inlineStr">
        <is>
          <t>Manamana</t>
        </is>
      </c>
      <c r="C89" s="3" t="inlineStr">
        <is>
          <t>Both</t>
        </is>
      </c>
      <c r="D89" s="5" t="n">
        <v>59</v>
      </c>
      <c r="E89" s="5" t="n">
        <v>0</v>
      </c>
      <c r="F89" s="114" t="inlineStr">
        <is>
          <t>Manaca City</t>
        </is>
      </c>
      <c r="G89" s="114" t="inlineStr">
        <is>
          <t>Manaca City</t>
        </is>
      </c>
      <c r="H89" s="114" t="inlineStr">
        <is>
          <t>same</t>
        </is>
      </c>
      <c r="I89" s="122" t="n">
        <v>339988.16</v>
      </c>
      <c r="J89" s="120" t="n">
        <v>339988</v>
      </c>
      <c r="K89" s="114" t="inlineStr">
        <is>
          <t>same</t>
        </is>
      </c>
      <c r="L89" s="114" t="n"/>
      <c r="M89" s="121" t="n"/>
      <c r="N89" s="120" t="n">
        <v>18361225</v>
      </c>
      <c r="O89" s="120" t="n">
        <v>18361225</v>
      </c>
      <c r="P89" s="114" t="inlineStr">
        <is>
          <t>same</t>
        </is>
      </c>
      <c r="Q89" s="114" t="n"/>
      <c r="R89" s="121" t="n"/>
      <c r="S89" s="120" t="n">
        <v>20092</v>
      </c>
      <c r="T89" s="120" t="n">
        <v>20092</v>
      </c>
      <c r="U89" s="114" t="inlineStr">
        <is>
          <t>same</t>
        </is>
      </c>
      <c r="V89" s="114" t="n"/>
      <c r="W89" s="121" t="n"/>
    </row>
    <row r="90">
      <c r="A90" s="3" t="inlineStr">
        <is>
          <t>Mekabiri</t>
        </is>
      </c>
      <c r="B90" s="3" t="inlineStr">
        <is>
          <t>Mekabiri</t>
        </is>
      </c>
      <c r="C90" s="3" t="inlineStr">
        <is>
          <t>Both</t>
        </is>
      </c>
      <c r="D90" s="5" t="n">
        <v>62</v>
      </c>
      <c r="E90" s="5" t="n">
        <v>0</v>
      </c>
      <c r="F90" s="114" t="inlineStr">
        <is>
          <t>Piri</t>
        </is>
      </c>
      <c r="G90" s="114" t="inlineStr">
        <is>
          <t>Piri</t>
        </is>
      </c>
      <c r="H90" s="114" t="inlineStr">
        <is>
          <t>same</t>
        </is>
      </c>
      <c r="I90" s="120" t="n">
        <v>522586</v>
      </c>
      <c r="J90" s="120" t="n">
        <v>522586</v>
      </c>
      <c r="K90" s="114" t="inlineStr">
        <is>
          <t>same</t>
        </is>
      </c>
      <c r="L90" s="114" t="n"/>
      <c r="M90" s="121" t="n"/>
      <c r="N90" s="120" t="n">
        <v>9149522</v>
      </c>
      <c r="O90" s="120" t="n">
        <v>9149522</v>
      </c>
      <c r="P90" s="114" t="inlineStr">
        <is>
          <t>same</t>
        </is>
      </c>
      <c r="Q90" s="114" t="n"/>
      <c r="R90" s="121" t="n"/>
      <c r="S90" s="120" t="n">
        <v>12859</v>
      </c>
      <c r="T90" s="120" t="n">
        <v>12859</v>
      </c>
      <c r="U90" s="114" t="inlineStr">
        <is>
          <t>same</t>
        </is>
      </c>
      <c r="V90" s="114" t="n"/>
      <c r="W90" s="121" t="n"/>
    </row>
    <row r="91">
      <c r="A91" s="3" t="inlineStr">
        <is>
          <t>Miiros</t>
        </is>
      </c>
      <c r="B91" s="3" t="inlineStr">
        <is>
          <t>Miiros</t>
        </is>
      </c>
      <c r="C91" s="3" t="inlineStr">
        <is>
          <t>Both</t>
        </is>
      </c>
      <c r="D91" s="5" t="n">
        <v>63</v>
      </c>
      <c r="E91" s="5" t="n">
        <v>0</v>
      </c>
      <c r="F91" s="114" t="inlineStr">
        <is>
          <t>Orthen</t>
        </is>
      </c>
      <c r="G91" s="114" t="inlineStr">
        <is>
          <t>Orthen</t>
        </is>
      </c>
      <c r="H91" s="114" t="inlineStr">
        <is>
          <t>same</t>
        </is>
      </c>
      <c r="I91" s="122" t="n">
        <v>580392.38</v>
      </c>
      <c r="J91" s="120" t="n">
        <v>580392</v>
      </c>
      <c r="K91" s="114" t="inlineStr">
        <is>
          <t>same</t>
        </is>
      </c>
      <c r="L91" s="114" t="n"/>
      <c r="M91" s="121" t="n"/>
      <c r="N91" s="120" t="n">
        <v>5750000</v>
      </c>
      <c r="O91" s="120" t="n">
        <v>5750000</v>
      </c>
      <c r="P91" s="114" t="inlineStr">
        <is>
          <t>same</t>
        </is>
      </c>
      <c r="Q91" s="114" t="n"/>
      <c r="R91" s="121" t="n"/>
      <c r="S91" s="120" t="n">
        <v>59362</v>
      </c>
      <c r="T91" s="120" t="n">
        <v>59362</v>
      </c>
      <c r="U91" s="114" t="inlineStr">
        <is>
          <t>same</t>
        </is>
      </c>
      <c r="V91" s="114" t="n"/>
      <c r="W91" s="121" t="n"/>
    </row>
    <row r="92">
      <c r="A92" s="3" t="inlineStr">
        <is>
          <t>Nanto</t>
        </is>
      </c>
      <c r="B92" s="3" t="inlineStr">
        <is>
          <t>Nanto</t>
        </is>
      </c>
      <c r="C92" s="3" t="inlineStr">
        <is>
          <t>Both</t>
        </is>
      </c>
      <c r="D92" s="5" t="n">
        <v>66</v>
      </c>
      <c r="E92" s="5" t="n">
        <v>0</v>
      </c>
      <c r="F92" s="114" t="inlineStr">
        <is>
          <t>Sawi</t>
        </is>
      </c>
      <c r="G92" s="114" t="inlineStr">
        <is>
          <t>Sawi</t>
        </is>
      </c>
      <c r="H92" s="114" t="inlineStr">
        <is>
          <t>same</t>
        </is>
      </c>
      <c r="I92" s="120" t="n">
        <v>12612</v>
      </c>
      <c r="J92" s="120" t="n">
        <v>12612</v>
      </c>
      <c r="K92" s="114" t="inlineStr">
        <is>
          <t>same</t>
        </is>
      </c>
      <c r="L92" s="114" t="n"/>
      <c r="M92" s="121" t="n"/>
      <c r="N92" s="120" t="n">
        <v>1174985</v>
      </c>
      <c r="O92" s="120" t="n">
        <v>1174985</v>
      </c>
      <c r="P92" s="114" t="inlineStr">
        <is>
          <t>same</t>
        </is>
      </c>
      <c r="Q92" s="114" t="n"/>
      <c r="R92" s="121" t="n"/>
      <c r="S92" s="120" t="n">
        <v>8453</v>
      </c>
      <c r="T92" s="120" t="n">
        <v>8453</v>
      </c>
      <c r="U92" s="114" t="inlineStr">
        <is>
          <t>same</t>
        </is>
      </c>
      <c r="V92" s="114" t="n"/>
      <c r="W92" s="121" t="n"/>
    </row>
    <row r="93">
      <c r="A93" s="3" t="inlineStr">
        <is>
          <t>Narva</t>
        </is>
      </c>
      <c r="B93" s="3" t="inlineStr">
        <is>
          <t>Narva</t>
        </is>
      </c>
      <c r="C93" s="3" t="inlineStr">
        <is>
          <t>Both</t>
        </is>
      </c>
      <c r="D93" s="5" t="n">
        <v>67</v>
      </c>
      <c r="E93" s="5" t="n">
        <v>0</v>
      </c>
      <c r="F93" s="114" t="inlineStr">
        <is>
          <t>Mannarsto</t>
        </is>
      </c>
      <c r="G93" s="114" t="inlineStr">
        <is>
          <t>Mannarsto</t>
        </is>
      </c>
      <c r="H93" s="114" t="inlineStr">
        <is>
          <t>same</t>
        </is>
      </c>
      <c r="I93" s="120" t="n">
        <v>139886</v>
      </c>
      <c r="J93" s="120" t="n">
        <v>139886</v>
      </c>
      <c r="K93" s="114" t="inlineStr">
        <is>
          <t>same</t>
        </is>
      </c>
      <c r="L93" s="114" t="n"/>
      <c r="M93" s="121" t="n"/>
      <c r="N93" s="120" t="n">
        <v>8900435</v>
      </c>
      <c r="O93" s="120" t="n">
        <v>8900435</v>
      </c>
      <c r="P93" s="114" t="inlineStr">
        <is>
          <t>same</t>
        </is>
      </c>
      <c r="Q93" s="114" t="n"/>
      <c r="R93" s="121" t="n"/>
      <c r="S93" s="120" t="n">
        <v>25841</v>
      </c>
      <c r="T93" s="120" t="n">
        <v>25841</v>
      </c>
      <c r="U93" s="114" t="inlineStr">
        <is>
          <t>same</t>
        </is>
      </c>
      <c r="V93" s="114" t="n"/>
      <c r="W93" s="121" t="n"/>
    </row>
    <row r="94">
      <c r="A94" s="3" t="inlineStr">
        <is>
          <t>Neusrya</t>
        </is>
      </c>
      <c r="B94" s="3" t="inlineStr">
        <is>
          <t>Neusrya</t>
        </is>
      </c>
      <c r="C94" s="3" t="inlineStr">
        <is>
          <t>Both</t>
        </is>
      </c>
      <c r="D94" s="5" t="n">
        <v>68</v>
      </c>
      <c r="E94" s="5" t="n">
        <v>0</v>
      </c>
      <c r="F94" s="114" t="inlineStr">
        <is>
          <t>Zhaber</t>
        </is>
      </c>
      <c r="G94" s="114" t="inlineStr">
        <is>
          <t>Zhaber</t>
        </is>
      </c>
      <c r="H94" s="114" t="inlineStr">
        <is>
          <t>same</t>
        </is>
      </c>
      <c r="I94" s="120" t="n">
        <v>135418</v>
      </c>
      <c r="J94" s="120" t="n">
        <v>135418</v>
      </c>
      <c r="K94" s="114" t="inlineStr">
        <is>
          <t>same</t>
        </is>
      </c>
      <c r="L94" s="114" t="n"/>
      <c r="M94" s="121" t="n"/>
      <c r="N94" s="120" t="n">
        <v>43000000</v>
      </c>
      <c r="O94" s="120" t="n">
        <v>43000000</v>
      </c>
      <c r="P94" s="114" t="inlineStr">
        <is>
          <t>same</t>
        </is>
      </c>
      <c r="Q94" s="114" t="n"/>
      <c r="R94" s="121" t="n"/>
      <c r="S94" s="120" t="n">
        <v>17435</v>
      </c>
      <c r="T94" s="120" t="n">
        <v>17435</v>
      </c>
      <c r="U94" s="114" t="inlineStr">
        <is>
          <t>same</t>
        </is>
      </c>
      <c r="V94" s="114" t="n"/>
      <c r="W94" s="121" t="n"/>
    </row>
    <row r="95">
      <c r="A95" s="3" t="inlineStr">
        <is>
          <t>Niederoestereich</t>
        </is>
      </c>
      <c r="B95" s="3" t="inlineStr">
        <is>
          <t>Niederoestereich</t>
        </is>
      </c>
      <c r="C95" s="3" t="inlineStr">
        <is>
          <t>Both</t>
        </is>
      </c>
      <c r="D95" s="5" t="n">
        <v>69</v>
      </c>
      <c r="E95" s="5" t="n">
        <v>0</v>
      </c>
      <c r="F95" s="114" t="inlineStr">
        <is>
          <t>Ranke</t>
        </is>
      </c>
      <c r="G95" s="114" t="inlineStr">
        <is>
          <t>Ranke</t>
        </is>
      </c>
      <c r="H95" s="114" t="inlineStr">
        <is>
          <t>same</t>
        </is>
      </c>
      <c r="I95" s="122" t="n">
        <v>295392.95</v>
      </c>
      <c r="J95" s="120" t="n">
        <v>295393</v>
      </c>
      <c r="K95" s="114" t="inlineStr">
        <is>
          <t>same</t>
        </is>
      </c>
      <c r="L95" s="114" t="n"/>
      <c r="M95" s="121" t="n"/>
      <c r="N95" s="120" t="n">
        <v>14906117</v>
      </c>
      <c r="O95" s="120" t="n">
        <v>14906117</v>
      </c>
      <c r="P95" s="114" t="inlineStr">
        <is>
          <t>same</t>
        </is>
      </c>
      <c r="Q95" s="114" t="n"/>
      <c r="R95" s="121" t="n"/>
      <c r="S95" s="120" t="n">
        <v>59178</v>
      </c>
      <c r="T95" s="120" t="n">
        <v>59178</v>
      </c>
      <c r="U95" s="114" t="inlineStr">
        <is>
          <t>same</t>
        </is>
      </c>
      <c r="V95" s="114" t="n"/>
      <c r="W95" s="121" t="n"/>
    </row>
    <row r="96">
      <c r="A96" s="3" t="inlineStr">
        <is>
          <t>Prymont</t>
        </is>
      </c>
      <c r="B96" s="3" t="inlineStr">
        <is>
          <t>Prymont</t>
        </is>
      </c>
      <c r="C96" s="3" t="inlineStr">
        <is>
          <t>Both</t>
        </is>
      </c>
      <c r="D96" s="5" t="n">
        <v>73</v>
      </c>
      <c r="E96" s="5" t="n">
        <v>0</v>
      </c>
      <c r="F96" s="114" t="inlineStr">
        <is>
          <t>New Halsham</t>
        </is>
      </c>
      <c r="G96" s="114" t="inlineStr">
        <is>
          <t>New Halsham</t>
        </is>
      </c>
      <c r="H96" s="114" t="inlineStr">
        <is>
          <t>same</t>
        </is>
      </c>
      <c r="I96" s="122" t="n">
        <v>267099.61</v>
      </c>
      <c r="J96" s="120" t="n">
        <v>267100</v>
      </c>
      <c r="K96" s="114" t="inlineStr">
        <is>
          <t>same</t>
        </is>
      </c>
      <c r="L96" s="114" t="n"/>
      <c r="M96" s="121" t="n"/>
      <c r="N96" s="120" t="n">
        <v>12011000</v>
      </c>
      <c r="O96" s="120" t="n">
        <v>12011000</v>
      </c>
      <c r="P96" s="114" t="inlineStr">
        <is>
          <t>same</t>
        </is>
      </c>
      <c r="Q96" s="114" t="n"/>
      <c r="R96" s="121" t="n"/>
      <c r="S96" s="120" t="n">
        <v>59772</v>
      </c>
      <c r="T96" s="120" t="n">
        <v>59772</v>
      </c>
      <c r="U96" s="114" t="inlineStr">
        <is>
          <t>same</t>
        </is>
      </c>
      <c r="V96" s="114" t="n"/>
      <c r="W96" s="121" t="n"/>
    </row>
    <row r="97">
      <c r="A97" s="3" t="inlineStr">
        <is>
          <t>Qubdi</t>
        </is>
      </c>
      <c r="B97" s="3" t="inlineStr">
        <is>
          <t>Qubdi</t>
        </is>
      </c>
      <c r="C97" s="3" t="inlineStr">
        <is>
          <t>Both</t>
        </is>
      </c>
      <c r="D97" s="5" t="n">
        <v>74</v>
      </c>
      <c r="E97" s="5" t="n">
        <v>0</v>
      </c>
      <c r="F97" s="114" t="inlineStr">
        <is>
          <t>Taqdir</t>
        </is>
      </c>
      <c r="G97" s="114" t="inlineStr">
        <is>
          <t>Taqdir</t>
        </is>
      </c>
      <c r="H97" s="114" t="inlineStr">
        <is>
          <t>same</t>
        </is>
      </c>
      <c r="I97" s="120" t="n">
        <v>587062</v>
      </c>
      <c r="J97" s="120" t="n">
        <v>587062</v>
      </c>
      <c r="K97" s="114" t="inlineStr">
        <is>
          <t>same</t>
        </is>
      </c>
      <c r="L97" s="114" t="n"/>
      <c r="M97" s="121" t="n"/>
      <c r="N97" s="120" t="n">
        <v>203412021</v>
      </c>
      <c r="O97" s="120" t="n">
        <v>203412021</v>
      </c>
      <c r="P97" s="114" t="inlineStr">
        <is>
          <t>same</t>
        </is>
      </c>
      <c r="Q97" s="114" t="n"/>
      <c r="R97" s="121" t="n"/>
      <c r="S97" s="120" t="n">
        <v>7325</v>
      </c>
      <c r="T97" s="120" t="n">
        <v>7325</v>
      </c>
      <c r="U97" s="114" t="inlineStr">
        <is>
          <t>same</t>
        </is>
      </c>
      <c r="V97" s="114" t="n"/>
      <c r="W97" s="121" t="n"/>
    </row>
    <row r="98">
      <c r="A98" s="3" t="inlineStr">
        <is>
          <t>Red Iberos</t>
        </is>
      </c>
      <c r="B98" s="3" t="inlineStr">
        <is>
          <t>Red-Iberos</t>
        </is>
      </c>
      <c r="C98" s="3" t="inlineStr">
        <is>
          <t>Both</t>
        </is>
      </c>
      <c r="D98" s="5" t="n">
        <v>76</v>
      </c>
      <c r="E98" s="5" t="n">
        <v>0</v>
      </c>
      <c r="F98" s="114" t="inlineStr">
        <is>
          <t>Porto Premia</t>
        </is>
      </c>
      <c r="G98" s="114" t="inlineStr">
        <is>
          <t>Porto Premia</t>
        </is>
      </c>
      <c r="H98" s="114" t="inlineStr">
        <is>
          <t>same</t>
        </is>
      </c>
      <c r="I98" s="122" t="n">
        <v>839086.55</v>
      </c>
      <c r="J98" s="120" t="n">
        <v>839087</v>
      </c>
      <c r="K98" s="114" t="inlineStr">
        <is>
          <t>same</t>
        </is>
      </c>
      <c r="L98" s="114" t="n"/>
      <c r="M98" s="121" t="n"/>
      <c r="N98" s="120" t="n">
        <v>26000000</v>
      </c>
      <c r="O98" s="120" t="n">
        <v>26000000</v>
      </c>
      <c r="P98" s="114" t="inlineStr">
        <is>
          <t>same</t>
        </is>
      </c>
      <c r="Q98" s="114" t="n"/>
      <c r="R98" s="121" t="n"/>
      <c r="S98" s="120" t="n">
        <v>22957</v>
      </c>
      <c r="T98" s="120" t="n">
        <v>22957</v>
      </c>
      <c r="U98" s="114" t="inlineStr">
        <is>
          <t>same</t>
        </is>
      </c>
      <c r="V98" s="114" t="n"/>
      <c r="W98" s="121" t="n"/>
    </row>
    <row r="99">
      <c r="A99" s="3" t="inlineStr">
        <is>
          <t>Rohini</t>
        </is>
      </c>
      <c r="B99" s="3" t="inlineStr">
        <is>
          <t>Rohini</t>
        </is>
      </c>
      <c r="C99" s="3" t="inlineStr">
        <is>
          <t>Both</t>
        </is>
      </c>
      <c r="D99" s="5" t="n">
        <v>78</v>
      </c>
      <c r="E99" s="5" t="n">
        <v>0</v>
      </c>
      <c r="F99" s="114" t="inlineStr">
        <is>
          <t>Vali</t>
        </is>
      </c>
      <c r="G99" s="114" t="inlineStr">
        <is>
          <t>Vali</t>
        </is>
      </c>
      <c r="H99" s="114" t="inlineStr">
        <is>
          <t>same</t>
        </is>
      </c>
      <c r="I99" s="120" t="n">
        <v>13713</v>
      </c>
      <c r="J99" s="120" t="n">
        <v>13713</v>
      </c>
      <c r="K99" s="114" t="inlineStr">
        <is>
          <t>same</t>
        </is>
      </c>
      <c r="L99" s="114" t="n"/>
      <c r="M99" s="121" t="n"/>
      <c r="N99" s="120" t="n">
        <v>1691876</v>
      </c>
      <c r="O99" s="120" t="n">
        <v>1691876</v>
      </c>
      <c r="P99" s="114" t="inlineStr">
        <is>
          <t>same</t>
        </is>
      </c>
      <c r="Q99" s="114" t="n"/>
      <c r="R99" s="121" t="n"/>
      <c r="S99" s="3" t="n"/>
      <c r="T99" s="3" t="n"/>
      <c r="U99" s="3" t="inlineStr">
        <is>
          <t>both unknown</t>
        </is>
      </c>
      <c r="V99" s="3" t="n"/>
      <c r="W99" s="123" t="n"/>
    </row>
    <row r="100">
      <c r="A100" s="3" t="inlineStr">
        <is>
          <t>Sa Ma Khom</t>
        </is>
      </c>
      <c r="B100" s="3" t="inlineStr">
        <is>
          <t>Sa-Ma-Khom</t>
        </is>
      </c>
      <c r="C100" s="3" t="inlineStr">
        <is>
          <t>Both</t>
        </is>
      </c>
      <c r="D100" s="5" t="n">
        <v>79</v>
      </c>
      <c r="E100" s="5" t="n">
        <v>0</v>
      </c>
      <c r="F100" s="114" t="inlineStr">
        <is>
          <t>Ha Ninh</t>
        </is>
      </c>
      <c r="G100" s="114" t="inlineStr">
        <is>
          <t>Ha Ninh</t>
        </is>
      </c>
      <c r="H100" s="114" t="inlineStr">
        <is>
          <t>same</t>
        </is>
      </c>
      <c r="I100" s="120" t="n">
        <v>446926</v>
      </c>
      <c r="J100" s="120" t="n">
        <v>446926</v>
      </c>
      <c r="K100" s="114" t="inlineStr">
        <is>
          <t>same</t>
        </is>
      </c>
      <c r="L100" s="114" t="n"/>
      <c r="M100" s="121" t="n"/>
      <c r="N100" s="120" t="n">
        <v>13000000</v>
      </c>
      <c r="O100" s="120" t="n">
        <v>13000000</v>
      </c>
      <c r="P100" s="114" t="inlineStr">
        <is>
          <t>same</t>
        </is>
      </c>
      <c r="Q100" s="114" t="n"/>
      <c r="R100" s="121" t="n"/>
      <c r="S100" s="120" t="n">
        <v>14000</v>
      </c>
      <c r="T100" s="120" t="n">
        <v>14000</v>
      </c>
      <c r="U100" s="114" t="inlineStr">
        <is>
          <t>same</t>
        </is>
      </c>
      <c r="V100" s="114" t="n"/>
      <c r="W100" s="121" t="n"/>
    </row>
    <row r="101">
      <c r="A101" s="3" t="inlineStr">
        <is>
          <t>Salvia</t>
        </is>
      </c>
      <c r="B101" s="3" t="inlineStr">
        <is>
          <t>Salvia</t>
        </is>
      </c>
      <c r="C101" s="3" t="inlineStr">
        <is>
          <t>Both</t>
        </is>
      </c>
      <c r="D101" s="5" t="n">
        <v>81</v>
      </c>
      <c r="E101" s="5" t="n">
        <v>0</v>
      </c>
      <c r="F101" s="114" t="inlineStr">
        <is>
          <t>Deopolis</t>
        </is>
      </c>
      <c r="G101" s="114" t="inlineStr">
        <is>
          <t>Deopolis</t>
        </is>
      </c>
      <c r="H101" s="114" t="inlineStr">
        <is>
          <t>same</t>
        </is>
      </c>
      <c r="I101" s="120" t="n">
        <v>389451</v>
      </c>
      <c r="J101" s="120" t="n">
        <v>389451</v>
      </c>
      <c r="K101" s="114" t="inlineStr">
        <is>
          <t>same</t>
        </is>
      </c>
      <c r="L101" s="114" t="n"/>
      <c r="M101" s="121" t="n"/>
      <c r="N101" s="120" t="n">
        <v>23001900</v>
      </c>
      <c r="O101" s="120" t="n">
        <v>23001900</v>
      </c>
      <c r="P101" s="114" t="inlineStr">
        <is>
          <t>same</t>
        </is>
      </c>
      <c r="Q101" s="114" t="n"/>
      <c r="R101" s="121" t="n"/>
      <c r="S101" s="120" t="n">
        <v>38910</v>
      </c>
      <c r="T101" s="120" t="n">
        <v>38910</v>
      </c>
      <c r="U101" s="114" t="inlineStr">
        <is>
          <t>same</t>
        </is>
      </c>
      <c r="V101" s="114" t="n"/>
      <c r="W101" s="121" t="n"/>
    </row>
    <row r="102">
      <c r="A102" s="3" t="inlineStr">
        <is>
          <t>San Giorgio</t>
        </is>
      </c>
      <c r="B102" s="3" t="inlineStr">
        <is>
          <t>San-Giorgio</t>
        </is>
      </c>
      <c r="C102" s="3" t="inlineStr">
        <is>
          <t>Both</t>
        </is>
      </c>
      <c r="D102" s="5" t="n">
        <v>82</v>
      </c>
      <c r="E102" s="5" t="n">
        <v>0</v>
      </c>
      <c r="F102" s="114" t="inlineStr">
        <is>
          <t>Sabato</t>
        </is>
      </c>
      <c r="G102" s="114" t="inlineStr">
        <is>
          <t>Sabato</t>
        </is>
      </c>
      <c r="H102" s="114" t="inlineStr">
        <is>
          <t>same</t>
        </is>
      </c>
      <c r="I102" s="122" t="n">
        <v>7975.25</v>
      </c>
      <c r="J102" s="120" t="n">
        <v>7975</v>
      </c>
      <c r="K102" s="114" t="inlineStr">
        <is>
          <t>same</t>
        </is>
      </c>
      <c r="L102" s="114" t="n"/>
      <c r="M102" s="121" t="n"/>
      <c r="N102" s="120" t="n">
        <v>3046546</v>
      </c>
      <c r="O102" s="120" t="n">
        <v>3046546</v>
      </c>
      <c r="P102" s="114" t="inlineStr">
        <is>
          <t>same</t>
        </is>
      </c>
      <c r="Q102" s="114" t="n"/>
      <c r="R102" s="121" t="n"/>
      <c r="S102" s="3" t="n"/>
      <c r="T102" s="3" t="n"/>
      <c r="U102" s="3" t="inlineStr">
        <is>
          <t>both unknown</t>
        </is>
      </c>
      <c r="V102" s="3" t="n"/>
      <c r="W102" s="123" t="n"/>
    </row>
    <row r="103">
      <c r="A103" s="3" t="inlineStr">
        <is>
          <t>San Jorge</t>
        </is>
      </c>
      <c r="B103" s="3" t="inlineStr">
        <is>
          <t>San-Jorge</t>
        </is>
      </c>
      <c r="C103" s="3" t="inlineStr">
        <is>
          <t>Both</t>
        </is>
      </c>
      <c r="D103" s="5" t="n">
        <v>83</v>
      </c>
      <c r="E103" s="5" t="n">
        <v>0</v>
      </c>
      <c r="F103" s="114" t="inlineStr">
        <is>
          <t>Santa Isabel</t>
        </is>
      </c>
      <c r="G103" s="114" t="inlineStr">
        <is>
          <t>Santa Isabel</t>
        </is>
      </c>
      <c r="H103" s="114" t="inlineStr">
        <is>
          <t>same</t>
        </is>
      </c>
      <c r="I103" s="122" t="n">
        <v>10584.42</v>
      </c>
      <c r="J103" s="120" t="n">
        <v>10584</v>
      </c>
      <c r="K103" s="114" t="inlineStr">
        <is>
          <t>same</t>
        </is>
      </c>
      <c r="L103" s="114" t="n"/>
      <c r="M103" s="121" t="n"/>
      <c r="N103" s="120" t="n">
        <v>2328572</v>
      </c>
      <c r="O103" s="120" t="n">
        <v>2328572</v>
      </c>
      <c r="P103" s="114" t="inlineStr">
        <is>
          <t>same</t>
        </is>
      </c>
      <c r="Q103" s="114" t="n"/>
      <c r="R103" s="121" t="n"/>
      <c r="S103" s="3" t="n"/>
      <c r="T103" s="3" t="n"/>
      <c r="U103" s="3" t="inlineStr">
        <is>
          <t>both unknown</t>
        </is>
      </c>
      <c r="V103" s="3" t="n"/>
      <c r="W103" s="123" t="n"/>
    </row>
    <row r="104">
      <c r="A104" s="3" t="inlineStr">
        <is>
          <t>Sokhanistan</t>
        </is>
      </c>
      <c r="B104" s="3" t="inlineStr">
        <is>
          <t>Sokhanistan</t>
        </is>
      </c>
      <c r="C104" s="3" t="inlineStr">
        <is>
          <t>Both</t>
        </is>
      </c>
      <c r="D104" s="5" t="n">
        <v>84</v>
      </c>
      <c r="E104" s="5" t="n">
        <v>0</v>
      </c>
      <c r="F104" s="114" t="inlineStr">
        <is>
          <t>Valakilea</t>
        </is>
      </c>
      <c r="G104" s="114" t="inlineStr">
        <is>
          <t>Valakilea</t>
        </is>
      </c>
      <c r="H104" s="114" t="inlineStr">
        <is>
          <t>same</t>
        </is>
      </c>
      <c r="I104" s="120" t="n">
        <v>528980</v>
      </c>
      <c r="J104" s="120" t="n">
        <v>528980</v>
      </c>
      <c r="K104" s="114" t="inlineStr">
        <is>
          <t>same</t>
        </is>
      </c>
      <c r="L104" s="114" t="n"/>
      <c r="M104" s="121" t="n"/>
      <c r="N104" s="120" t="n">
        <v>46537935</v>
      </c>
      <c r="O104" s="120" t="n">
        <v>46537935</v>
      </c>
      <c r="P104" s="114" t="inlineStr">
        <is>
          <t>same</t>
        </is>
      </c>
      <c r="Q104" s="114" t="n"/>
      <c r="R104" s="121" t="n"/>
      <c r="S104" s="3" t="n"/>
      <c r="T104" s="3" t="n"/>
      <c r="U104" s="3" t="inlineStr">
        <is>
          <t>both unknown</t>
        </is>
      </c>
      <c r="V104" s="3" t="n"/>
      <c r="W104" s="123" t="n"/>
    </row>
    <row r="105">
      <c r="A105" s="3" t="inlineStr">
        <is>
          <t>Sporsia</t>
        </is>
      </c>
      <c r="B105" s="3" t="inlineStr">
        <is>
          <t>Sporsia</t>
        </is>
      </c>
      <c r="C105" s="3" t="inlineStr">
        <is>
          <t>Both</t>
        </is>
      </c>
      <c r="D105" s="5" t="n">
        <v>85</v>
      </c>
      <c r="E105" s="5" t="n">
        <v>0</v>
      </c>
      <c r="F105" s="114" t="inlineStr">
        <is>
          <t>Ganris</t>
        </is>
      </c>
      <c r="G105" s="114" t="inlineStr">
        <is>
          <t>Ganris</t>
        </is>
      </c>
      <c r="H105" s="114" t="inlineStr">
        <is>
          <t>same</t>
        </is>
      </c>
      <c r="I105" s="120" t="n">
        <v>274520</v>
      </c>
      <c r="J105" s="120" t="n">
        <v>274520</v>
      </c>
      <c r="K105" s="114" t="inlineStr">
        <is>
          <t>same</t>
        </is>
      </c>
      <c r="L105" s="114" t="n"/>
      <c r="M105" s="121" t="n"/>
      <c r="N105" s="120" t="n">
        <v>45130102</v>
      </c>
      <c r="O105" s="120" t="n">
        <v>45130102</v>
      </c>
      <c r="P105" s="114" t="inlineStr">
        <is>
          <t>same</t>
        </is>
      </c>
      <c r="Q105" s="114" t="n"/>
      <c r="R105" s="121" t="n"/>
      <c r="S105" s="3" t="n"/>
      <c r="T105" s="3" t="n"/>
      <c r="U105" s="3" t="inlineStr">
        <is>
          <t>both unknown</t>
        </is>
      </c>
      <c r="V105" s="3" t="n"/>
      <c r="W105" s="123" t="n"/>
    </row>
    <row r="106">
      <c r="A106" s="3" t="inlineStr">
        <is>
          <t>Suminto</t>
        </is>
      </c>
      <c r="B106" s="3" t="inlineStr">
        <is>
          <t>Suminto</t>
        </is>
      </c>
      <c r="C106" s="3" t="inlineStr">
        <is>
          <t>Both</t>
        </is>
      </c>
      <c r="D106" s="5" t="n">
        <v>87</v>
      </c>
      <c r="E106" s="5" t="n">
        <v>0</v>
      </c>
      <c r="F106" s="114" t="inlineStr">
        <is>
          <t>Sumen Batuk</t>
        </is>
      </c>
      <c r="G106" s="114" t="inlineStr">
        <is>
          <t>Sumen Batuk</t>
        </is>
      </c>
      <c r="H106" s="114" t="inlineStr">
        <is>
          <t>same</t>
        </is>
      </c>
      <c r="I106" s="120" t="n">
        <v>345000</v>
      </c>
      <c r="J106" s="120" t="n">
        <v>345000</v>
      </c>
      <c r="K106" s="114" t="inlineStr">
        <is>
          <t>same</t>
        </is>
      </c>
      <c r="L106" s="114" t="n"/>
      <c r="M106" s="121" t="n"/>
      <c r="N106" s="120" t="n">
        <v>60000000</v>
      </c>
      <c r="O106" s="120" t="n">
        <v>60000000</v>
      </c>
      <c r="P106" s="114" t="inlineStr">
        <is>
          <t>same</t>
        </is>
      </c>
      <c r="Q106" s="114" t="n"/>
      <c r="R106" s="121" t="n"/>
      <c r="S106" s="120" t="n">
        <v>12800</v>
      </c>
      <c r="T106" s="120" t="n">
        <v>12800</v>
      </c>
      <c r="U106" s="114" t="inlineStr">
        <is>
          <t>same</t>
        </is>
      </c>
      <c r="V106" s="114" t="n"/>
      <c r="W106" s="121" t="n"/>
    </row>
    <row r="107">
      <c r="A107" s="3" t="inlineStr">
        <is>
          <t>Sunset Sea Islands</t>
        </is>
      </c>
      <c r="B107" s="3" t="inlineStr">
        <is>
          <t>Sunset-Sea-Islands</t>
        </is>
      </c>
      <c r="C107" s="3" t="inlineStr">
        <is>
          <t>Both</t>
        </is>
      </c>
      <c r="D107" s="5" t="n">
        <v>89</v>
      </c>
      <c r="E107" s="5" t="n">
        <v>0</v>
      </c>
      <c r="F107" s="114" t="inlineStr">
        <is>
          <t>Sunset City</t>
        </is>
      </c>
      <c r="G107" s="114" t="inlineStr">
        <is>
          <t>Sunset City</t>
        </is>
      </c>
      <c r="H107" s="114" t="inlineStr">
        <is>
          <t>same</t>
        </is>
      </c>
      <c r="I107" s="120" t="n">
        <v>790000</v>
      </c>
      <c r="J107" s="120" t="n">
        <v>790000</v>
      </c>
      <c r="K107" s="114" t="inlineStr">
        <is>
          <t>same</t>
        </is>
      </c>
      <c r="L107" s="114" t="n"/>
      <c r="M107" s="121" t="n"/>
      <c r="N107" s="120" t="n">
        <v>68870000</v>
      </c>
      <c r="O107" s="120" t="n">
        <v>68870000</v>
      </c>
      <c r="P107" s="114" t="inlineStr">
        <is>
          <t>same</t>
        </is>
      </c>
      <c r="Q107" s="114" t="n"/>
      <c r="R107" s="121" t="n"/>
      <c r="S107" s="120" t="n">
        <v>15000</v>
      </c>
      <c r="T107" s="120" t="n">
        <v>15000</v>
      </c>
      <c r="U107" s="114" t="inlineStr">
        <is>
          <t>same</t>
        </is>
      </c>
      <c r="V107" s="114" t="n"/>
      <c r="W107" s="121" t="n"/>
    </row>
    <row r="108">
      <c r="A108" s="3" t="inlineStr">
        <is>
          <t>Suverina</t>
        </is>
      </c>
      <c r="B108" s="3" t="inlineStr">
        <is>
          <t>Suverina</t>
        </is>
      </c>
      <c r="C108" s="3" t="inlineStr">
        <is>
          <t>Both</t>
        </is>
      </c>
      <c r="D108" s="5" t="n">
        <v>90</v>
      </c>
      <c r="E108" s="5" t="n">
        <v>0</v>
      </c>
      <c r="F108" s="114" t="inlineStr">
        <is>
          <t>Chişinău</t>
        </is>
      </c>
      <c r="G108" s="114" t="inlineStr">
        <is>
          <t>Chişinău</t>
        </is>
      </c>
      <c r="H108" s="114" t="inlineStr">
        <is>
          <t>same</t>
        </is>
      </c>
      <c r="I108" s="120" t="n">
        <v>891853</v>
      </c>
      <c r="J108" s="120" t="n">
        <v>891853</v>
      </c>
      <c r="K108" s="114" t="inlineStr">
        <is>
          <t>same</t>
        </is>
      </c>
      <c r="L108" s="114" t="n"/>
      <c r="M108" s="121" t="n"/>
      <c r="N108" s="120" t="n">
        <v>111815000</v>
      </c>
      <c r="O108" s="120" t="n">
        <v>111815000</v>
      </c>
      <c r="P108" s="114" t="inlineStr">
        <is>
          <t>same</t>
        </is>
      </c>
      <c r="Q108" s="114" t="n"/>
      <c r="R108" s="121" t="n"/>
      <c r="S108" s="120" t="n">
        <v>23767</v>
      </c>
      <c r="T108" s="120" t="n">
        <v>23767</v>
      </c>
      <c r="U108" s="114" t="inlineStr">
        <is>
          <t>same</t>
        </is>
      </c>
      <c r="V108" s="114" t="n"/>
      <c r="W108" s="121" t="n"/>
    </row>
    <row r="109">
      <c r="A109" s="3" t="inlineStr">
        <is>
          <t>Tabaristan</t>
        </is>
      </c>
      <c r="B109" s="3" t="inlineStr">
        <is>
          <t>Tabaristan</t>
        </is>
      </c>
      <c r="C109" s="3" t="inlineStr">
        <is>
          <t>Both</t>
        </is>
      </c>
      <c r="D109" s="5" t="n">
        <v>91</v>
      </c>
      <c r="E109" s="5" t="n">
        <v>0</v>
      </c>
      <c r="F109" s="114" t="inlineStr">
        <is>
          <t>Saari</t>
        </is>
      </c>
      <c r="G109" s="114" t="inlineStr">
        <is>
          <t>Saari</t>
        </is>
      </c>
      <c r="H109" s="114" t="inlineStr">
        <is>
          <t>same</t>
        </is>
      </c>
      <c r="I109" s="122" t="n">
        <v>49117.91</v>
      </c>
      <c r="J109" s="120" t="n">
        <v>49118</v>
      </c>
      <c r="K109" s="114" t="inlineStr">
        <is>
          <t>same</t>
        </is>
      </c>
      <c r="L109" s="114" t="n"/>
      <c r="M109" s="121" t="n"/>
      <c r="N109" s="120" t="n">
        <v>15984105</v>
      </c>
      <c r="O109" s="120" t="n">
        <v>15984105</v>
      </c>
      <c r="P109" s="114" t="inlineStr">
        <is>
          <t>same</t>
        </is>
      </c>
      <c r="Q109" s="114" t="n"/>
      <c r="R109" s="121" t="n"/>
      <c r="S109" s="120" t="n">
        <v>21000</v>
      </c>
      <c r="T109" s="120" t="n">
        <v>21000</v>
      </c>
      <c r="U109" s="114" t="inlineStr">
        <is>
          <t>same</t>
        </is>
      </c>
      <c r="V109" s="114" t="n"/>
      <c r="W109" s="121" t="n"/>
    </row>
    <row r="110">
      <c r="A110" s="3" t="inlineStr">
        <is>
          <t>Tamurin</t>
        </is>
      </c>
      <c r="B110" s="3" t="inlineStr">
        <is>
          <t>Tamurin</t>
        </is>
      </c>
      <c r="C110" s="3" t="inlineStr">
        <is>
          <t>Both</t>
        </is>
      </c>
      <c r="D110" s="5" t="n">
        <v>93</v>
      </c>
      <c r="E110" s="5" t="n">
        <v>0</v>
      </c>
      <c r="F110" s="114" t="inlineStr">
        <is>
          <t>Alaghon</t>
        </is>
      </c>
      <c r="G110" s="114" t="inlineStr">
        <is>
          <t>Alaghon</t>
        </is>
      </c>
      <c r="H110" s="114" t="inlineStr">
        <is>
          <t>same</t>
        </is>
      </c>
      <c r="I110" s="120" t="n">
        <v>560523</v>
      </c>
      <c r="J110" s="120" t="n">
        <v>560523</v>
      </c>
      <c r="K110" s="114" t="inlineStr">
        <is>
          <t>same</t>
        </is>
      </c>
      <c r="L110" s="114" t="n"/>
      <c r="M110" s="121" t="n"/>
      <c r="N110" s="120" t="n">
        <v>80193963</v>
      </c>
      <c r="O110" s="120" t="n">
        <v>80193963</v>
      </c>
      <c r="P110" s="114" t="inlineStr">
        <is>
          <t>same</t>
        </is>
      </c>
      <c r="Q110" s="114" t="n"/>
      <c r="R110" s="121" t="n"/>
      <c r="S110" s="120" t="n">
        <v>37274</v>
      </c>
      <c r="T110" s="120" t="n">
        <v>37274</v>
      </c>
      <c r="U110" s="114" t="inlineStr">
        <is>
          <t>same</t>
        </is>
      </c>
      <c r="V110" s="114" t="n"/>
      <c r="W110" s="121" t="n"/>
    </row>
    <row r="111">
      <c r="A111" s="3" t="inlineStr">
        <is>
          <t>Tavok</t>
        </is>
      </c>
      <c r="B111" s="3" t="inlineStr">
        <is>
          <t>Tavok</t>
        </is>
      </c>
      <c r="C111" s="3" t="inlineStr">
        <is>
          <t>Both</t>
        </is>
      </c>
      <c r="D111" s="5" t="n">
        <v>94</v>
      </c>
      <c r="E111" s="5" t="n">
        <v>0</v>
      </c>
      <c r="F111" s="114" t="inlineStr">
        <is>
          <t>Tyyrik</t>
        </is>
      </c>
      <c r="G111" s="114" t="inlineStr">
        <is>
          <t>Tyyrik</t>
        </is>
      </c>
      <c r="H111" s="114" t="inlineStr">
        <is>
          <t>same</t>
        </is>
      </c>
      <c r="I111" s="120" t="n">
        <v>248153</v>
      </c>
      <c r="J111" s="120" t="n">
        <v>248153</v>
      </c>
      <c r="K111" s="114" t="inlineStr">
        <is>
          <t>same</t>
        </is>
      </c>
      <c r="L111" s="114" t="n"/>
      <c r="M111" s="121" t="n"/>
      <c r="N111" s="120" t="n">
        <v>48000000</v>
      </c>
      <c r="O111" s="120" t="n">
        <v>48000000</v>
      </c>
      <c r="P111" s="114" t="inlineStr">
        <is>
          <t>same</t>
        </is>
      </c>
      <c r="Q111" s="114" t="n"/>
      <c r="R111" s="121" t="n"/>
      <c r="S111" s="120" t="n">
        <v>39500</v>
      </c>
      <c r="T111" s="120" t="n">
        <v>39500</v>
      </c>
      <c r="U111" s="114" t="inlineStr">
        <is>
          <t>same</t>
        </is>
      </c>
      <c r="V111" s="114" t="n"/>
      <c r="W111" s="121" t="n"/>
    </row>
    <row r="112">
      <c r="A112" s="3" t="inlineStr">
        <is>
          <t>Variota</t>
        </is>
      </c>
      <c r="B112" s="3" t="inlineStr">
        <is>
          <t>Variota</t>
        </is>
      </c>
      <c r="C112" s="3" t="inlineStr">
        <is>
          <t>Both</t>
        </is>
      </c>
      <c r="D112" s="5" t="n">
        <v>95</v>
      </c>
      <c r="E112" s="5" t="n">
        <v>0</v>
      </c>
      <c r="F112" s="114" t="inlineStr">
        <is>
          <t>Ferrefaaierhafen</t>
        </is>
      </c>
      <c r="G112" s="114" t="inlineStr">
        <is>
          <t>Ferrefaaierhafen</t>
        </is>
      </c>
      <c r="H112" s="114" t="inlineStr">
        <is>
          <t>same</t>
        </is>
      </c>
      <c r="I112" s="120" t="n">
        <v>391765</v>
      </c>
      <c r="J112" s="120" t="n">
        <v>391765</v>
      </c>
      <c r="K112" s="114" t="inlineStr">
        <is>
          <t>same</t>
        </is>
      </c>
      <c r="L112" s="114" t="n"/>
      <c r="M112" s="121" t="n"/>
      <c r="N112" s="120" t="n">
        <v>41910000</v>
      </c>
      <c r="O112" s="120" t="n">
        <v>41910000</v>
      </c>
      <c r="P112" s="114" t="inlineStr">
        <is>
          <t>same</t>
        </is>
      </c>
      <c r="Q112" s="114" t="n"/>
      <c r="R112" s="121" t="n"/>
      <c r="S112" s="120" t="n">
        <v>37914</v>
      </c>
      <c r="T112" s="120" t="n">
        <v>37914</v>
      </c>
      <c r="U112" s="114" t="inlineStr">
        <is>
          <t>same</t>
        </is>
      </c>
      <c r="V112" s="114" t="n"/>
      <c r="W112" s="121" t="n"/>
    </row>
    <row r="113">
      <c r="A113" s="3" t="inlineStr">
        <is>
          <t>Vasqqa</t>
        </is>
      </c>
      <c r="B113" s="3" t="inlineStr">
        <is>
          <t>Vasqqa</t>
        </is>
      </c>
      <c r="C113" s="3" t="inlineStr">
        <is>
          <t>Both</t>
        </is>
      </c>
      <c r="D113" s="5" t="n">
        <v>96</v>
      </c>
      <c r="E113" s="5" t="n">
        <v>0</v>
      </c>
      <c r="F113" s="114" t="inlineStr">
        <is>
          <t>Vilvau</t>
        </is>
      </c>
      <c r="G113" s="114" t="inlineStr">
        <is>
          <t>Vilvau</t>
        </is>
      </c>
      <c r="H113" s="114" t="inlineStr">
        <is>
          <t>same</t>
        </is>
      </c>
      <c r="I113" s="120" t="n">
        <v>85111</v>
      </c>
      <c r="J113" s="120" t="n">
        <v>85111</v>
      </c>
      <c r="K113" s="114" t="inlineStr">
        <is>
          <t>same</t>
        </is>
      </c>
      <c r="L113" s="114" t="n"/>
      <c r="M113" s="121" t="n"/>
      <c r="N113" s="120" t="n">
        <v>12129800</v>
      </c>
      <c r="O113" s="120" t="n">
        <v>12129800</v>
      </c>
      <c r="P113" s="114" t="inlineStr">
        <is>
          <t>same</t>
        </is>
      </c>
      <c r="Q113" s="114" t="n"/>
      <c r="R113" s="121" t="n"/>
      <c r="S113" s="120" t="n">
        <v>17230</v>
      </c>
      <c r="T113" s="120" t="n">
        <v>17230</v>
      </c>
      <c r="U113" s="114" t="inlineStr">
        <is>
          <t>same</t>
        </is>
      </c>
      <c r="V113" s="114" t="n"/>
      <c r="W113" s="121" t="n"/>
    </row>
    <row r="114">
      <c r="A114" s="3" t="inlineStr">
        <is>
          <t>Velaheria</t>
        </is>
      </c>
      <c r="B114" s="3" t="inlineStr">
        <is>
          <t>Velaheria</t>
        </is>
      </c>
      <c r="C114" s="3" t="inlineStr">
        <is>
          <t>Both</t>
        </is>
      </c>
      <c r="D114" s="5" t="n">
        <v>97</v>
      </c>
      <c r="E114" s="5" t="n">
        <v>0</v>
      </c>
      <c r="F114" s="114" t="inlineStr">
        <is>
          <t>Bastaria</t>
        </is>
      </c>
      <c r="G114" s="114" t="inlineStr">
        <is>
          <t>Bastaria</t>
        </is>
      </c>
      <c r="H114" s="114" t="inlineStr">
        <is>
          <t>same</t>
        </is>
      </c>
      <c r="I114" s="122" t="n">
        <v>313330.72</v>
      </c>
      <c r="J114" s="120" t="n">
        <v>313331</v>
      </c>
      <c r="K114" s="114" t="inlineStr">
        <is>
          <t>same</t>
        </is>
      </c>
      <c r="L114" s="114" t="n"/>
      <c r="M114" s="121" t="n"/>
      <c r="N114" s="120" t="n">
        <v>30403490</v>
      </c>
      <c r="O114" s="120" t="n">
        <v>30403490</v>
      </c>
      <c r="P114" s="114" t="inlineStr">
        <is>
          <t>same</t>
        </is>
      </c>
      <c r="Q114" s="114" t="n"/>
      <c r="R114" s="121" t="n"/>
      <c r="S114" s="120" t="n">
        <v>2600</v>
      </c>
      <c r="T114" s="120" t="n">
        <v>2600</v>
      </c>
      <c r="U114" s="114" t="inlineStr">
        <is>
          <t>same</t>
        </is>
      </c>
      <c r="V114" s="114" t="n"/>
      <c r="W114" s="121" t="n"/>
    </row>
    <row r="115">
      <c r="A115" s="3" t="inlineStr">
        <is>
          <t>Volsci</t>
        </is>
      </c>
      <c r="B115" s="3" t="inlineStr">
        <is>
          <t>Volsci</t>
        </is>
      </c>
      <c r="C115" s="3" t="inlineStr">
        <is>
          <t>Both</t>
        </is>
      </c>
      <c r="D115" s="5" t="n">
        <v>100</v>
      </c>
      <c r="E115" s="5" t="n">
        <v>0</v>
      </c>
      <c r="F115" s="114" t="inlineStr">
        <is>
          <t>Antium</t>
        </is>
      </c>
      <c r="G115" s="114" t="inlineStr">
        <is>
          <t>Antium</t>
        </is>
      </c>
      <c r="H115" s="114" t="inlineStr">
        <is>
          <t>same</t>
        </is>
      </c>
      <c r="I115" s="120" t="n">
        <v>1099762</v>
      </c>
      <c r="J115" s="120" t="n">
        <v>1099762</v>
      </c>
      <c r="K115" s="114" t="inlineStr">
        <is>
          <t>same</t>
        </is>
      </c>
      <c r="L115" s="114" t="n"/>
      <c r="M115" s="121" t="n"/>
      <c r="N115" s="120" t="n">
        <v>146520000</v>
      </c>
      <c r="O115" s="120" t="n">
        <v>146520000</v>
      </c>
      <c r="P115" s="114" t="inlineStr">
        <is>
          <t>same</t>
        </is>
      </c>
      <c r="Q115" s="114" t="n"/>
      <c r="R115" s="121" t="n"/>
      <c r="S115" s="120" t="n">
        <v>9001</v>
      </c>
      <c r="T115" s="120" t="n">
        <v>9001</v>
      </c>
      <c r="U115" s="114" t="inlineStr">
        <is>
          <t>same</t>
        </is>
      </c>
      <c r="V115" s="114" t="n"/>
      <c r="W115" s="121" t="n"/>
    </row>
    <row r="116">
      <c r="A116" s="3" t="inlineStr">
        <is>
          <t>Vosarkia</t>
        </is>
      </c>
      <c r="B116" s="3" t="inlineStr">
        <is>
          <t>Vosarkia</t>
        </is>
      </c>
      <c r="C116" s="3" t="inlineStr">
        <is>
          <t>Both</t>
        </is>
      </c>
      <c r="D116" s="5" t="n">
        <v>101</v>
      </c>
      <c r="E116" s="5" t="n">
        <v>0</v>
      </c>
      <c r="F116" s="114" t="inlineStr">
        <is>
          <t>Ṡarsmēra</t>
        </is>
      </c>
      <c r="G116" s="114" t="inlineStr">
        <is>
          <t>Ṡarsmēra</t>
        </is>
      </c>
      <c r="H116" s="114" t="inlineStr">
        <is>
          <t>same</t>
        </is>
      </c>
      <c r="I116" s="122" t="n">
        <v>320198.58</v>
      </c>
      <c r="J116" s="120" t="n">
        <v>320199</v>
      </c>
      <c r="K116" s="114" t="inlineStr">
        <is>
          <t>same</t>
        </is>
      </c>
      <c r="L116" s="114" t="n"/>
      <c r="M116" s="121" t="n"/>
      <c r="N116" s="120" t="n">
        <v>12315438</v>
      </c>
      <c r="O116" s="120" t="n">
        <v>12315438</v>
      </c>
      <c r="P116" s="114" t="inlineStr">
        <is>
          <t>same</t>
        </is>
      </c>
      <c r="Q116" s="114" t="n"/>
      <c r="R116" s="121" t="n"/>
      <c r="S116" s="120" t="n">
        <v>26916</v>
      </c>
      <c r="T116" s="120" t="n">
        <v>26916</v>
      </c>
      <c r="U116" s="114" t="inlineStr">
        <is>
          <t>same</t>
        </is>
      </c>
      <c r="V116" s="114" t="n"/>
      <c r="W116" s="121" t="n"/>
    </row>
    <row r="117">
      <c r="A117" s="3" t="inlineStr">
        <is>
          <t>West Anglia</t>
        </is>
      </c>
      <c r="B117" s="3" t="inlineStr">
        <is>
          <t>West-Anglia</t>
        </is>
      </c>
      <c r="C117" s="3" t="inlineStr">
        <is>
          <t>Both</t>
        </is>
      </c>
      <c r="D117" s="5" t="n">
        <v>103</v>
      </c>
      <c r="E117" s="5" t="n">
        <v>0</v>
      </c>
      <c r="F117" s="114" t="inlineStr">
        <is>
          <t>Plough</t>
        </is>
      </c>
      <c r="G117" s="114" t="inlineStr">
        <is>
          <t>Plough</t>
        </is>
      </c>
      <c r="H117" s="114" t="inlineStr">
        <is>
          <t>same</t>
        </is>
      </c>
      <c r="I117" s="122" t="n">
        <v>620827.86</v>
      </c>
      <c r="J117" s="120" t="n">
        <v>620828</v>
      </c>
      <c r="K117" s="114" t="inlineStr">
        <is>
          <t>same</t>
        </is>
      </c>
      <c r="L117" s="114" t="n"/>
      <c r="M117" s="121" t="n"/>
      <c r="N117" s="120" t="n">
        <v>27354000</v>
      </c>
      <c r="O117" s="120" t="n">
        <v>27354000</v>
      </c>
      <c r="P117" s="114" t="inlineStr">
        <is>
          <t>same</t>
        </is>
      </c>
      <c r="Q117" s="114" t="n"/>
      <c r="R117" s="121" t="n"/>
      <c r="S117" s="122" t="n">
        <v>31879.5</v>
      </c>
      <c r="T117" s="120" t="n">
        <v>31880</v>
      </c>
      <c r="U117" s="114" t="inlineStr">
        <is>
          <t>same</t>
        </is>
      </c>
      <c r="V117" s="114" t="n"/>
      <c r="W117" s="121" t="n"/>
    </row>
    <row r="118">
      <c r="A118" s="3" t="inlineStr">
        <is>
          <t>Yien</t>
        </is>
      </c>
      <c r="B118" s="3" t="inlineStr">
        <is>
          <t>Yien</t>
        </is>
      </c>
      <c r="C118" s="3" t="inlineStr">
        <is>
          <t>Both</t>
        </is>
      </c>
      <c r="D118" s="5" t="n">
        <v>104</v>
      </c>
      <c r="E118" s="5" t="n">
        <v>0</v>
      </c>
      <c r="F118" s="114" t="inlineStr">
        <is>
          <t>Wëngabiook</t>
        </is>
      </c>
      <c r="G118" s="114" t="inlineStr">
        <is>
          <t>Wëngabiook</t>
        </is>
      </c>
      <c r="H118" s="114" t="inlineStr">
        <is>
          <t>same</t>
        </is>
      </c>
      <c r="I118" s="122" t="n">
        <v>380079.06</v>
      </c>
      <c r="J118" s="120" t="n">
        <v>380079</v>
      </c>
      <c r="K118" s="114" t="inlineStr">
        <is>
          <t>same</t>
        </is>
      </c>
      <c r="L118" s="114" t="n"/>
      <c r="M118" s="121" t="n"/>
      <c r="N118" s="120" t="n">
        <v>6220000</v>
      </c>
      <c r="O118" s="120" t="n">
        <v>6220000</v>
      </c>
      <c r="P118" s="114" t="inlineStr">
        <is>
          <t>same</t>
        </is>
      </c>
      <c r="Q118" s="114" t="n"/>
      <c r="R118" s="121" t="n"/>
      <c r="S118" s="3" t="n"/>
      <c r="T118" s="3" t="n"/>
      <c r="U118" s="3" t="inlineStr">
        <is>
          <t>both unknown</t>
        </is>
      </c>
      <c r="V118" s="3" t="n"/>
      <c r="W118" s="123" t="n"/>
    </row>
    <row r="119">
      <c r="A119" s="3" t="inlineStr">
        <is>
          <t>Yuropa</t>
        </is>
      </c>
      <c r="B119" s="3" t="inlineStr">
        <is>
          <t>Yuropa</t>
        </is>
      </c>
      <c r="C119" s="3" t="inlineStr">
        <is>
          <t>Both</t>
        </is>
      </c>
      <c r="D119" s="5" t="n">
        <v>106</v>
      </c>
      <c r="E119" s="5" t="n">
        <v>0</v>
      </c>
      <c r="F119" s="114" t="inlineStr">
        <is>
          <t>Centridge City</t>
        </is>
      </c>
      <c r="G119" s="114" t="inlineStr">
        <is>
          <t>Centridge City</t>
        </is>
      </c>
      <c r="H119" s="114" t="inlineStr">
        <is>
          <t>same</t>
        </is>
      </c>
      <c r="I119" s="120" t="n">
        <v>569161</v>
      </c>
      <c r="J119" s="120" t="n">
        <v>569161</v>
      </c>
      <c r="K119" s="114" t="inlineStr">
        <is>
          <t>same</t>
        </is>
      </c>
      <c r="L119" s="114" t="n"/>
      <c r="M119" s="121" t="n"/>
      <c r="N119" s="120" t="n">
        <v>61600000</v>
      </c>
      <c r="O119" s="120" t="n">
        <v>61600000</v>
      </c>
      <c r="P119" s="114" t="inlineStr">
        <is>
          <t>same</t>
        </is>
      </c>
      <c r="Q119" s="114" t="n"/>
      <c r="R119" s="121" t="n"/>
      <c r="S119" s="120" t="n">
        <v>4545</v>
      </c>
      <c r="T119" s="120" t="n">
        <v>4545</v>
      </c>
      <c r="U119" s="114" t="inlineStr">
        <is>
          <t>same</t>
        </is>
      </c>
      <c r="V119" s="114" t="n"/>
      <c r="W119" s="121" t="n"/>
    </row>
    <row r="120">
      <c r="A120" s="3" t="inlineStr">
        <is>
          <t>Zekistan</t>
        </is>
      </c>
      <c r="B120" s="3" t="inlineStr">
        <is>
          <t>Zekistan</t>
        </is>
      </c>
      <c r="C120" s="3" t="inlineStr">
        <is>
          <t>Both</t>
        </is>
      </c>
      <c r="D120" s="5" t="n">
        <v>107</v>
      </c>
      <c r="E120" s="5" t="n">
        <v>0</v>
      </c>
      <c r="F120" s="114" t="inlineStr">
        <is>
          <t>Manzarabad</t>
        </is>
      </c>
      <c r="G120" s="114" t="inlineStr">
        <is>
          <t>Manzarabad</t>
        </is>
      </c>
      <c r="H120" s="114" t="inlineStr">
        <is>
          <t>same</t>
        </is>
      </c>
      <c r="I120" s="122" t="n">
        <v>122176.09</v>
      </c>
      <c r="J120" s="120" t="n">
        <v>122176</v>
      </c>
      <c r="K120" s="114" t="inlineStr">
        <is>
          <t>same</t>
        </is>
      </c>
      <c r="L120" s="114" t="n"/>
      <c r="M120" s="121" t="n"/>
      <c r="N120" s="120" t="n">
        <v>12000000</v>
      </c>
      <c r="O120" s="120" t="n">
        <v>12000000</v>
      </c>
      <c r="P120" s="114" t="inlineStr">
        <is>
          <t>same</t>
        </is>
      </c>
      <c r="Q120" s="114" t="n"/>
      <c r="R120" s="121" t="n"/>
      <c r="S120" s="120" t="n">
        <v>8000</v>
      </c>
      <c r="T120" s="120" t="n">
        <v>8000</v>
      </c>
      <c r="U120" s="114" t="inlineStr">
        <is>
          <t>same</t>
        </is>
      </c>
      <c r="V120" s="114" t="n"/>
      <c r="W120" s="121" t="n"/>
    </row>
    <row r="121">
      <c r="A121" s="3" t="inlineStr">
        <is>
          <t>Zuydland</t>
        </is>
      </c>
      <c r="B121" s="3" t="inlineStr">
        <is>
          <t>Zuydland</t>
        </is>
      </c>
      <c r="C121" s="3" t="inlineStr">
        <is>
          <t>Both</t>
        </is>
      </c>
      <c r="D121" s="5" t="n">
        <v>108</v>
      </c>
      <c r="E121" s="5" t="n">
        <v>0</v>
      </c>
      <c r="F121" s="114" t="inlineStr">
        <is>
          <t>Fort Leeuwendael</t>
        </is>
      </c>
      <c r="G121" s="114" t="inlineStr">
        <is>
          <t>Fort Leeuwendael</t>
        </is>
      </c>
      <c r="H121" s="114" t="inlineStr">
        <is>
          <t>same</t>
        </is>
      </c>
      <c r="I121" s="120" t="n">
        <v>245000</v>
      </c>
      <c r="J121" s="120" t="n">
        <v>245000</v>
      </c>
      <c r="K121" s="114" t="inlineStr">
        <is>
          <t>same</t>
        </is>
      </c>
      <c r="L121" s="114" t="n"/>
      <c r="M121" s="121" t="n"/>
      <c r="N121" s="120" t="n">
        <v>22400000</v>
      </c>
      <c r="O121" s="120" t="n">
        <v>22400000</v>
      </c>
      <c r="P121" s="114" t="inlineStr">
        <is>
          <t>same</t>
        </is>
      </c>
      <c r="Q121" s="114" t="n"/>
      <c r="R121" s="121" t="n"/>
      <c r="S121" s="120" t="n">
        <v>18600</v>
      </c>
      <c r="T121" s="120" t="n">
        <v>18600</v>
      </c>
      <c r="U121" s="114" t="inlineStr">
        <is>
          <t>same</t>
        </is>
      </c>
      <c r="V121" s="114" t="n"/>
      <c r="W121" s="121" t="n"/>
    </row>
    <row r="122">
      <c r="A122" s="115" t="inlineStr">
        <is>
          <t>Mejilia</t>
        </is>
      </c>
      <c r="B122" s="115" t="inlineStr">
        <is>
          <t>Mejilia</t>
        </is>
      </c>
      <c r="C122" s="115" t="inlineStr">
        <is>
          <t>Only in Google Sheet</t>
        </is>
      </c>
      <c r="D122" s="124" t="n">
        <v>61</v>
      </c>
      <c r="E122" s="115" t="n"/>
      <c r="F122" s="115" t="inlineStr">
        <is>
          <t>Font</t>
        </is>
      </c>
      <c r="G122" s="115" t="n"/>
      <c r="H122" s="115" t="n"/>
      <c r="I122" s="125" t="n">
        <v>458333</v>
      </c>
      <c r="J122" s="115" t="n"/>
      <c r="K122" s="115" t="n"/>
      <c r="L122" s="115" t="n"/>
      <c r="M122" s="126" t="n"/>
      <c r="N122" s="125" t="n">
        <v>47050034</v>
      </c>
      <c r="O122" s="115" t="n"/>
      <c r="P122" s="115" t="n"/>
      <c r="Q122" s="115" t="n"/>
      <c r="R122" s="126" t="n"/>
      <c r="S122" s="125" t="n">
        <v>27331</v>
      </c>
      <c r="T122" s="115" t="n"/>
      <c r="U122" s="115" t="n"/>
      <c r="V122" s="115" t="n"/>
      <c r="W122" s="126" t="n"/>
    </row>
    <row r="123">
      <c r="A123" s="115" t="inlineStr">
        <is>
          <t>Akwisia</t>
        </is>
      </c>
      <c r="B123" s="115" t="inlineStr">
        <is>
          <t>Akwisia</t>
        </is>
      </c>
      <c r="C123" s="115" t="inlineStr">
        <is>
          <t>Only on map</t>
        </is>
      </c>
      <c r="D123" s="115" t="n"/>
      <c r="E123" s="115" t="n"/>
      <c r="F123" s="115" t="n"/>
      <c r="G123" s="115" t="inlineStr">
        <is>
          <t>Brandhaefen</t>
        </is>
      </c>
      <c r="H123" s="115" t="n"/>
      <c r="I123" s="115" t="n"/>
      <c r="J123" s="115" t="n"/>
      <c r="K123" s="115" t="n"/>
      <c r="L123" s="115" t="n"/>
      <c r="M123" s="126" t="n"/>
      <c r="N123" s="115" t="n"/>
      <c r="O123" s="115" t="n"/>
      <c r="P123" s="115" t="n"/>
      <c r="Q123" s="115" t="n"/>
      <c r="R123" s="126" t="n"/>
      <c r="S123" s="115" t="n"/>
      <c r="T123" s="115" t="n"/>
      <c r="U123" s="115" t="n"/>
      <c r="V123" s="115" t="n"/>
      <c r="W123" s="126" t="n"/>
    </row>
    <row r="124">
      <c r="A124" s="115" t="inlineStr">
        <is>
          <t>Astrini</t>
        </is>
      </c>
      <c r="B124" s="115" t="inlineStr">
        <is>
          <t>Astrini</t>
        </is>
      </c>
      <c r="C124" s="115" t="inlineStr">
        <is>
          <t>Only on map</t>
        </is>
      </c>
      <c r="D124" s="115" t="n"/>
      <c r="E124" s="115" t="n"/>
      <c r="F124" s="115" t="n"/>
      <c r="G124" s="115" t="n"/>
      <c r="H124" s="115" t="n"/>
      <c r="I124" s="115" t="n"/>
      <c r="J124" s="115" t="n"/>
      <c r="K124" s="115" t="n"/>
      <c r="L124" s="115" t="n"/>
      <c r="M124" s="126" t="n"/>
      <c r="N124" s="115" t="n"/>
      <c r="O124" s="115" t="n"/>
      <c r="P124" s="115" t="n"/>
      <c r="Q124" s="115" t="n"/>
      <c r="R124" s="126" t="n"/>
      <c r="S124" s="115" t="n"/>
      <c r="T124" s="115" t="n"/>
      <c r="U124" s="115" t="n"/>
      <c r="V124" s="115" t="n"/>
      <c r="W124" s="126" t="n"/>
    </row>
    <row r="125">
      <c r="A125" s="115" t="inlineStr">
        <is>
          <t>Bamraland</t>
        </is>
      </c>
      <c r="B125" s="115" t="inlineStr">
        <is>
          <t>Bamraland</t>
        </is>
      </c>
      <c r="C125" s="115" t="inlineStr">
        <is>
          <t>Only on map</t>
        </is>
      </c>
      <c r="D125" s="115" t="n"/>
      <c r="E125" s="115" t="n"/>
      <c r="F125" s="115" t="n"/>
      <c r="G125" s="115" t="inlineStr">
        <is>
          <t>Langpauya</t>
        </is>
      </c>
      <c r="H125" s="115" t="n"/>
      <c r="I125" s="115" t="n"/>
      <c r="J125" s="125" t="n">
        <v>699908</v>
      </c>
      <c r="K125" s="115" t="n"/>
      <c r="L125" s="115" t="n"/>
      <c r="M125" s="126" t="n"/>
      <c r="N125" s="115" t="n"/>
      <c r="O125" s="125" t="n">
        <v>75311923</v>
      </c>
      <c r="P125" s="115" t="n"/>
      <c r="Q125" s="115" t="n"/>
      <c r="R125" s="126" t="n"/>
      <c r="S125" s="115" t="n"/>
      <c r="T125" s="125" t="n">
        <v>7915</v>
      </c>
      <c r="U125" s="115" t="n"/>
      <c r="V125" s="115" t="n"/>
      <c r="W125" s="126" t="n"/>
    </row>
    <row r="126">
      <c r="A126" s="115" t="inlineStr">
        <is>
          <t>Breugua</t>
        </is>
      </c>
      <c r="B126" s="115" t="inlineStr">
        <is>
          <t>Breugua</t>
        </is>
      </c>
      <c r="C126" s="115" t="inlineStr">
        <is>
          <t>Only on map</t>
        </is>
      </c>
      <c r="D126" s="115" t="n"/>
      <c r="E126" s="115" t="n"/>
      <c r="F126" s="115" t="n"/>
      <c r="G126" s="115" t="inlineStr">
        <is>
          <t>Montelago</t>
        </is>
      </c>
      <c r="H126" s="115" t="n"/>
      <c r="I126" s="115" t="n"/>
      <c r="J126" s="115" t="n"/>
      <c r="K126" s="115" t="n"/>
      <c r="L126" s="115" t="n"/>
      <c r="M126" s="126" t="n"/>
      <c r="N126" s="115" t="n"/>
      <c r="O126" s="115" t="n"/>
      <c r="P126" s="115" t="n"/>
      <c r="Q126" s="115" t="n"/>
      <c r="R126" s="126" t="n"/>
      <c r="S126" s="115" t="n"/>
      <c r="T126" s="115" t="n"/>
      <c r="U126" s="115" t="n"/>
      <c r="V126" s="115" t="n"/>
      <c r="W126" s="126" t="n"/>
    </row>
    <row r="127">
      <c r="A127" s="115" t="inlineStr">
        <is>
          <t>Caliveis</t>
        </is>
      </c>
      <c r="B127" s="115" t="inlineStr">
        <is>
          <t>Caliveis</t>
        </is>
      </c>
      <c r="C127" s="115" t="inlineStr">
        <is>
          <t>Only on map</t>
        </is>
      </c>
      <c r="D127" s="115" t="n"/>
      <c r="E127" s="115" t="n"/>
      <c r="F127" s="115" t="n"/>
      <c r="G127" s="115" t="inlineStr">
        <is>
          <t>Colina Marron</t>
        </is>
      </c>
      <c r="H127" s="115" t="n"/>
      <c r="I127" s="115" t="n"/>
      <c r="J127" s="115" t="n"/>
      <c r="K127" s="115" t="n"/>
      <c r="L127" s="115" t="n"/>
      <c r="M127" s="126" t="n"/>
      <c r="N127" s="115" t="n"/>
      <c r="O127" s="115" t="n"/>
      <c r="P127" s="115" t="n"/>
      <c r="Q127" s="115" t="n"/>
      <c r="R127" s="126" t="n"/>
      <c r="S127" s="115" t="n"/>
      <c r="T127" s="115" t="n"/>
      <c r="U127" s="115" t="n"/>
      <c r="V127" s="115" t="n"/>
      <c r="W127" s="126" t="n"/>
    </row>
    <row r="128">
      <c r="A128" s="115" t="inlineStr">
        <is>
          <t>Coedana</t>
        </is>
      </c>
      <c r="B128" s="115" t="inlineStr">
        <is>
          <t>Coedana</t>
        </is>
      </c>
      <c r="C128" s="115" t="inlineStr">
        <is>
          <t>Only on map</t>
        </is>
      </c>
      <c r="D128" s="115" t="n"/>
      <c r="E128" s="115" t="n"/>
      <c r="F128" s="115" t="n"/>
      <c r="G128" s="115" t="inlineStr">
        <is>
          <t>Baile na nOilean</t>
        </is>
      </c>
      <c r="H128" s="115" t="n"/>
      <c r="I128" s="115" t="n"/>
      <c r="J128" s="115" t="n"/>
      <c r="K128" s="115" t="n"/>
      <c r="L128" s="115" t="n"/>
      <c r="M128" s="126" t="n"/>
      <c r="N128" s="115" t="n"/>
      <c r="O128" s="115" t="n"/>
      <c r="P128" s="115" t="n"/>
      <c r="Q128" s="115" t="n"/>
      <c r="R128" s="126" t="n"/>
      <c r="S128" s="115" t="n"/>
      <c r="T128" s="115" t="n"/>
      <c r="U128" s="115" t="n"/>
      <c r="V128" s="115" t="n"/>
      <c r="W128" s="126" t="n"/>
    </row>
    <row r="129">
      <c r="A129" s="115" t="inlineStr">
        <is>
          <t>Cruciastada</t>
        </is>
      </c>
      <c r="B129" s="115" t="inlineStr">
        <is>
          <t>Cruciastada</t>
        </is>
      </c>
      <c r="C129" s="115" t="inlineStr">
        <is>
          <t>Only on map</t>
        </is>
      </c>
      <c r="D129" s="115" t="n"/>
      <c r="E129" s="115" t="n"/>
      <c r="F129" s="115" t="n"/>
      <c r="G129" s="115" t="n"/>
      <c r="H129" s="115" t="n"/>
      <c r="I129" s="115" t="n"/>
      <c r="J129" s="125" t="n">
        <v>553881</v>
      </c>
      <c r="K129" s="115" t="n"/>
      <c r="L129" s="115" t="n"/>
      <c r="M129" s="126" t="n"/>
      <c r="N129" s="115" t="n"/>
      <c r="O129" s="125" t="n">
        <v>74741200</v>
      </c>
      <c r="P129" s="115" t="n"/>
      <c r="Q129" s="115" t="n"/>
      <c r="R129" s="126" t="n"/>
      <c r="S129" s="115" t="n"/>
      <c r="T129" s="127" t="n">
        <v>26152.24</v>
      </c>
      <c r="U129" s="115" t="n"/>
      <c r="V129" s="115" t="n"/>
      <c r="W129" s="126" t="n"/>
    </row>
    <row r="130">
      <c r="A130" s="115" t="inlineStr">
        <is>
          <t>Doria</t>
        </is>
      </c>
      <c r="B130" s="115" t="inlineStr">
        <is>
          <t>Doria</t>
        </is>
      </c>
      <c r="C130" s="115" t="inlineStr">
        <is>
          <t>Only on map</t>
        </is>
      </c>
      <c r="D130" s="115" t="n"/>
      <c r="E130" s="115" t="n"/>
      <c r="F130" s="115" t="n"/>
      <c r="G130" s="115" t="inlineStr">
        <is>
          <t>Byalgrad</t>
        </is>
      </c>
      <c r="H130" s="115" t="n"/>
      <c r="I130" s="115" t="n"/>
      <c r="J130" s="115" t="n"/>
      <c r="K130" s="115" t="n"/>
      <c r="L130" s="115" t="n"/>
      <c r="M130" s="126" t="n"/>
      <c r="N130" s="115" t="n"/>
      <c r="O130" s="115" t="n"/>
      <c r="P130" s="115" t="n"/>
      <c r="Q130" s="115" t="n"/>
      <c r="R130" s="126" t="n"/>
      <c r="S130" s="115" t="n"/>
      <c r="T130" s="115" t="n"/>
      <c r="U130" s="115" t="n"/>
      <c r="V130" s="115" t="n"/>
      <c r="W130" s="126" t="n"/>
    </row>
    <row r="131">
      <c r="A131" s="115" t="inlineStr">
        <is>
          <t>Elbenau</t>
        </is>
      </c>
      <c r="B131" s="115" t="inlineStr">
        <is>
          <t>Elbenau</t>
        </is>
      </c>
      <c r="C131" s="115" t="inlineStr">
        <is>
          <t>Only on map</t>
        </is>
      </c>
      <c r="D131" s="115" t="n"/>
      <c r="E131" s="115" t="n"/>
      <c r="F131" s="115" t="n"/>
      <c r="G131" s="115" t="inlineStr">
        <is>
          <t>Grestin</t>
        </is>
      </c>
      <c r="H131" s="115" t="n"/>
      <c r="I131" s="115" t="n"/>
      <c r="J131" s="115" t="n"/>
      <c r="K131" s="115" t="n"/>
      <c r="L131" s="115" t="n"/>
      <c r="M131" s="126" t="n"/>
      <c r="N131" s="115" t="n"/>
      <c r="O131" s="115" t="n"/>
      <c r="P131" s="115" t="n"/>
      <c r="Q131" s="115" t="n"/>
      <c r="R131" s="126" t="n"/>
      <c r="S131" s="115" t="n"/>
      <c r="T131" s="115" t="n"/>
      <c r="U131" s="115" t="n"/>
      <c r="V131" s="115" t="n"/>
      <c r="W131" s="126" t="n"/>
    </row>
    <row r="132">
      <c r="A132" s="115" t="inlineStr">
        <is>
          <t>Korinon</t>
        </is>
      </c>
      <c r="B132" s="115" t="inlineStr">
        <is>
          <t>Korinon</t>
        </is>
      </c>
      <c r="C132" s="115" t="inlineStr">
        <is>
          <t>Only on map</t>
        </is>
      </c>
      <c r="D132" s="115" t="n"/>
      <c r="E132" s="115" t="n"/>
      <c r="F132" s="115" t="n"/>
      <c r="G132" s="115" t="inlineStr">
        <is>
          <t>Verlucio</t>
        </is>
      </c>
      <c r="H132" s="115" t="n"/>
      <c r="I132" s="115" t="n"/>
      <c r="J132" s="115" t="n"/>
      <c r="K132" s="115" t="n"/>
      <c r="L132" s="115" t="n"/>
      <c r="M132" s="126" t="n"/>
      <c r="N132" s="115" t="n"/>
      <c r="O132" s="115" t="n"/>
      <c r="P132" s="115" t="n"/>
      <c r="Q132" s="115" t="n"/>
      <c r="R132" s="126" t="n"/>
      <c r="S132" s="115" t="n"/>
      <c r="T132" s="115" t="n"/>
      <c r="U132" s="115" t="n"/>
      <c r="V132" s="115" t="n"/>
      <c r="W132" s="126" t="n"/>
    </row>
    <row r="133">
      <c r="A133" s="115" t="inlineStr">
        <is>
          <t>Leimurya</t>
        </is>
      </c>
      <c r="B133" s="115" t="inlineStr">
        <is>
          <t>Leimurya</t>
        </is>
      </c>
      <c r="C133" s="115" t="inlineStr">
        <is>
          <t>Only on map</t>
        </is>
      </c>
      <c r="D133" s="115" t="n"/>
      <c r="E133" s="115" t="n"/>
      <c r="F133" s="115" t="n"/>
      <c r="G133" s="115" t="inlineStr">
        <is>
          <t>Mu</t>
        </is>
      </c>
      <c r="H133" s="115" t="n"/>
      <c r="I133" s="115" t="n"/>
      <c r="J133" s="115" t="n"/>
      <c r="K133" s="115" t="n"/>
      <c r="L133" s="115" t="n"/>
      <c r="M133" s="126" t="n"/>
      <c r="N133" s="115" t="n"/>
      <c r="O133" s="115" t="n"/>
      <c r="P133" s="115" t="n"/>
      <c r="Q133" s="115" t="n"/>
      <c r="R133" s="126" t="n"/>
      <c r="S133" s="115" t="n"/>
      <c r="T133" s="115" t="n"/>
      <c r="U133" s="115" t="n"/>
      <c r="V133" s="115" t="n"/>
      <c r="W133" s="126" t="n"/>
    </row>
    <row r="134">
      <c r="A134" s="115" t="inlineStr">
        <is>
          <t>Lenelia</t>
        </is>
      </c>
      <c r="B134" s="115" t="inlineStr">
        <is>
          <t>Lenelia</t>
        </is>
      </c>
      <c r="C134" s="115" t="inlineStr">
        <is>
          <t>Only on map</t>
        </is>
      </c>
      <c r="D134" s="115" t="n"/>
      <c r="E134" s="115" t="n"/>
      <c r="F134" s="115" t="n"/>
      <c r="G134" s="115" t="inlineStr">
        <is>
          <t>Font</t>
        </is>
      </c>
      <c r="H134" s="115" t="n"/>
      <c r="I134" s="115" t="n"/>
      <c r="J134" s="125" t="n">
        <v>672516</v>
      </c>
      <c r="K134" s="115" t="n"/>
      <c r="L134" s="115" t="n"/>
      <c r="M134" s="126" t="n"/>
      <c r="N134" s="115" t="n"/>
      <c r="O134" s="125" t="n">
        <v>59800000</v>
      </c>
      <c r="P134" s="115" t="n"/>
      <c r="Q134" s="115" t="n"/>
      <c r="R134" s="126" t="n"/>
      <c r="S134" s="115" t="n"/>
      <c r="T134" s="125" t="n">
        <v>27331</v>
      </c>
      <c r="U134" s="115" t="n"/>
      <c r="V134" s="115" t="n"/>
      <c r="W134" s="126" t="n"/>
    </row>
    <row r="135">
      <c r="A135" s="115" t="inlineStr">
        <is>
          <t>Marcendy</t>
        </is>
      </c>
      <c r="B135" s="115" t="inlineStr">
        <is>
          <t>Marcendy</t>
        </is>
      </c>
      <c r="C135" s="115" t="inlineStr">
        <is>
          <t>Only on map</t>
        </is>
      </c>
      <c r="D135" s="115" t="n"/>
      <c r="E135" s="115" t="n"/>
      <c r="F135" s="115" t="n"/>
      <c r="G135" s="115" t="inlineStr">
        <is>
          <t>Argentan</t>
        </is>
      </c>
      <c r="H135" s="115" t="n"/>
      <c r="I135" s="115" t="n"/>
      <c r="J135" s="115" t="n"/>
      <c r="K135" s="115" t="n"/>
      <c r="L135" s="115" t="n"/>
      <c r="M135" s="126" t="n"/>
      <c r="N135" s="115" t="n"/>
      <c r="O135" s="115" t="n"/>
      <c r="P135" s="115" t="n"/>
      <c r="Q135" s="115" t="n"/>
      <c r="R135" s="126" t="n"/>
      <c r="S135" s="115" t="n"/>
      <c r="T135" s="115" t="n"/>
      <c r="U135" s="115" t="n"/>
      <c r="V135" s="115" t="n"/>
      <c r="W135" s="126" t="n"/>
    </row>
    <row r="136">
      <c r="A136" s="115" t="inlineStr">
        <is>
          <t>North Dniester</t>
        </is>
      </c>
      <c r="B136" s="115" t="inlineStr">
        <is>
          <t>North-Dniester</t>
        </is>
      </c>
      <c r="C136" s="115" t="inlineStr">
        <is>
          <t>Only on map</t>
        </is>
      </c>
      <c r="D136" s="115" t="n"/>
      <c r="E136" s="115" t="n"/>
      <c r="F136" s="115" t="n"/>
      <c r="G136" s="115" t="inlineStr">
        <is>
          <t>Tiraspol</t>
        </is>
      </c>
      <c r="H136" s="115" t="n"/>
      <c r="I136" s="115" t="n"/>
      <c r="J136" s="115" t="n"/>
      <c r="K136" s="115" t="n"/>
      <c r="L136" s="115" t="n"/>
      <c r="M136" s="126" t="n"/>
      <c r="N136" s="115" t="n"/>
      <c r="O136" s="115" t="n"/>
      <c r="P136" s="115" t="n"/>
      <c r="Q136" s="115" t="n"/>
      <c r="R136" s="126" t="n"/>
      <c r="S136" s="115" t="n"/>
      <c r="T136" s="115" t="n"/>
      <c r="U136" s="115" t="n"/>
      <c r="V136" s="115" t="n"/>
      <c r="W136" s="126" t="n"/>
    </row>
    <row r="137">
      <c r="A137" s="115" t="inlineStr">
        <is>
          <t>Nova Occidentalis</t>
        </is>
      </c>
      <c r="B137" s="115" t="inlineStr">
        <is>
          <t>Nova-Occidentalis</t>
        </is>
      </c>
      <c r="C137" s="115" t="inlineStr">
        <is>
          <t>Only on map</t>
        </is>
      </c>
      <c r="D137" s="115" t="n"/>
      <c r="E137" s="115" t="n"/>
      <c r="F137" s="115" t="n"/>
      <c r="G137" s="115" t="inlineStr">
        <is>
          <t>Treipoduri</t>
        </is>
      </c>
      <c r="H137" s="115" t="n"/>
      <c r="I137" s="115" t="n"/>
      <c r="J137" s="125" t="n">
        <v>475000</v>
      </c>
      <c r="K137" s="115" t="n"/>
      <c r="L137" s="115" t="n"/>
      <c r="M137" s="126" t="n"/>
      <c r="N137" s="115" t="n"/>
      <c r="O137" s="125" t="n">
        <v>73245000</v>
      </c>
      <c r="P137" s="115" t="n"/>
      <c r="Q137" s="115" t="n"/>
      <c r="R137" s="126" t="n"/>
      <c r="S137" s="115" t="n"/>
      <c r="T137" s="125" t="n">
        <v>18450</v>
      </c>
      <c r="U137" s="115" t="n"/>
      <c r="V137" s="115" t="n"/>
      <c r="W137" s="126" t="n"/>
    </row>
    <row r="138">
      <c r="A138" s="115" t="inlineStr">
        <is>
          <t>Obereland</t>
        </is>
      </c>
      <c r="B138" s="115" t="inlineStr">
        <is>
          <t>Obereland</t>
        </is>
      </c>
      <c r="C138" s="115" t="inlineStr">
        <is>
          <t>Only on map</t>
        </is>
      </c>
      <c r="D138" s="115" t="n"/>
      <c r="E138" s="115" t="n"/>
      <c r="F138" s="115" t="n"/>
      <c r="G138" s="115" t="inlineStr">
        <is>
          <t>Durven</t>
        </is>
      </c>
      <c r="H138" s="115" t="n"/>
      <c r="I138" s="115" t="n"/>
      <c r="J138" s="115" t="n"/>
      <c r="K138" s="115" t="n"/>
      <c r="L138" s="115" t="n"/>
      <c r="M138" s="126" t="n"/>
      <c r="N138" s="115" t="n"/>
      <c r="O138" s="115" t="n"/>
      <c r="P138" s="115" t="n"/>
      <c r="Q138" s="115" t="n"/>
      <c r="R138" s="126" t="n"/>
      <c r="S138" s="115" t="n"/>
      <c r="T138" s="115" t="n"/>
      <c r="U138" s="115" t="n"/>
      <c r="V138" s="115" t="n"/>
      <c r="W138" s="126" t="n"/>
    </row>
    <row r="139">
      <c r="A139" s="115" t="inlineStr">
        <is>
          <t>Oyussa</t>
        </is>
      </c>
      <c r="B139" s="115" t="inlineStr">
        <is>
          <t>Oyussa</t>
        </is>
      </c>
      <c r="C139" s="115" t="inlineStr">
        <is>
          <t>Only on map</t>
        </is>
      </c>
      <c r="D139" s="115" t="n"/>
      <c r="E139" s="115" t="n"/>
      <c r="F139" s="115" t="n"/>
      <c r="G139" s="115" t="inlineStr">
        <is>
          <t>Yulaa</t>
        </is>
      </c>
      <c r="H139" s="115" t="n"/>
      <c r="I139" s="115" t="n"/>
      <c r="J139" s="115" t="n"/>
      <c r="K139" s="115" t="n"/>
      <c r="L139" s="115" t="n"/>
      <c r="M139" s="126" t="n"/>
      <c r="N139" s="115" t="n"/>
      <c r="O139" s="115" t="n"/>
      <c r="P139" s="115" t="n"/>
      <c r="Q139" s="115" t="n"/>
      <c r="R139" s="126" t="n"/>
      <c r="S139" s="115" t="n"/>
      <c r="T139" s="115" t="n"/>
      <c r="U139" s="115" t="n"/>
      <c r="V139" s="115" t="n"/>
      <c r="W139" s="126" t="n"/>
    </row>
    <row r="140">
      <c r="A140" s="115" t="inlineStr">
        <is>
          <t>Parvaquilee</t>
        </is>
      </c>
      <c r="B140" s="115" t="inlineStr">
        <is>
          <t>Parvaquilee</t>
        </is>
      </c>
      <c r="C140" s="115" t="inlineStr">
        <is>
          <t>Only on map</t>
        </is>
      </c>
      <c r="D140" s="115" t="n"/>
      <c r="E140" s="115" t="n"/>
      <c r="F140" s="115" t="n"/>
      <c r="G140" s="115" t="inlineStr">
        <is>
          <t>Fort Liberte</t>
        </is>
      </c>
      <c r="H140" s="115" t="n"/>
      <c r="I140" s="115" t="n"/>
      <c r="J140" s="115" t="n"/>
      <c r="K140" s="115" t="n"/>
      <c r="L140" s="115" t="n"/>
      <c r="M140" s="126" t="n"/>
      <c r="N140" s="115" t="n"/>
      <c r="O140" s="115" t="n"/>
      <c r="P140" s="115" t="n"/>
      <c r="Q140" s="115" t="n"/>
      <c r="R140" s="126" t="n"/>
      <c r="S140" s="115" t="n"/>
      <c r="T140" s="115" t="n"/>
      <c r="U140" s="115" t="n"/>
      <c r="V140" s="115" t="n"/>
      <c r="W140" s="126" t="n"/>
    </row>
    <row r="141">
      <c r="A141" s="115" t="inlineStr">
        <is>
          <t>Piekinigaje</t>
        </is>
      </c>
      <c r="B141" s="115" t="inlineStr">
        <is>
          <t>Piekinigaje</t>
        </is>
      </c>
      <c r="C141" s="115" t="inlineStr">
        <is>
          <t>Only on map</t>
        </is>
      </c>
      <c r="D141" s="115" t="n"/>
      <c r="E141" s="115" t="n"/>
      <c r="F141" s="115" t="n"/>
      <c r="G141" s="115" t="inlineStr">
        <is>
          <t>Goresk</t>
        </is>
      </c>
      <c r="H141" s="115" t="n"/>
      <c r="I141" s="115" t="n"/>
      <c r="J141" s="125" t="n">
        <v>228053</v>
      </c>
      <c r="K141" s="115" t="n"/>
      <c r="L141" s="115" t="n"/>
      <c r="M141" s="126" t="n"/>
      <c r="N141" s="115" t="n"/>
      <c r="O141" s="125" t="n">
        <v>14572581</v>
      </c>
      <c r="P141" s="115" t="n"/>
      <c r="Q141" s="115" t="n"/>
      <c r="R141" s="126" t="n"/>
      <c r="S141" s="115" t="n"/>
      <c r="T141" s="125" t="n">
        <v>37825</v>
      </c>
      <c r="U141" s="115" t="n"/>
      <c r="V141" s="115" t="n"/>
      <c r="W141" s="126" t="n"/>
    </row>
    <row r="142">
      <c r="A142" s="115" t="inlineStr">
        <is>
          <t>Sentist State</t>
        </is>
      </c>
      <c r="B142" s="115" t="inlineStr">
        <is>
          <t>Sentist-State</t>
        </is>
      </c>
      <c r="C142" s="115" t="inlineStr">
        <is>
          <t>Only on map</t>
        </is>
      </c>
      <c r="D142" s="115" t="n"/>
      <c r="E142" s="115" t="n"/>
      <c r="F142" s="115" t="n"/>
      <c r="G142" s="115" t="inlineStr">
        <is>
          <t>Ashein City</t>
        </is>
      </c>
      <c r="H142" s="115" t="n"/>
      <c r="I142" s="115" t="n"/>
      <c r="J142" s="115" t="n"/>
      <c r="K142" s="115" t="n"/>
      <c r="L142" s="115" t="n"/>
      <c r="M142" s="126" t="n"/>
      <c r="N142" s="115" t="n"/>
      <c r="O142" s="115" t="n"/>
      <c r="P142" s="115" t="n"/>
      <c r="Q142" s="115" t="n"/>
      <c r="R142" s="126" t="n"/>
      <c r="S142" s="115" t="n"/>
      <c r="T142" s="115" t="n"/>
      <c r="U142" s="115" t="n"/>
      <c r="V142" s="115" t="n"/>
      <c r="W142" s="126" t="n"/>
    </row>
    <row r="143">
      <c r="A143" s="115" t="inlineStr">
        <is>
          <t>Ulfheimr</t>
        </is>
      </c>
      <c r="B143" s="115" t="inlineStr">
        <is>
          <t>Ulfheimr</t>
        </is>
      </c>
      <c r="C143" s="115" t="inlineStr">
        <is>
          <t>Only on map</t>
        </is>
      </c>
      <c r="D143" s="115" t="n"/>
      <c r="E143" s="115" t="n"/>
      <c r="F143" s="115" t="n"/>
      <c r="G143" s="115" t="inlineStr">
        <is>
          <t>Ulfar</t>
        </is>
      </c>
      <c r="H143" s="115" t="n"/>
      <c r="I143" s="115" t="n"/>
      <c r="J143" s="115" t="n"/>
      <c r="K143" s="115" t="n"/>
      <c r="L143" s="115" t="n"/>
      <c r="M143" s="126" t="n"/>
      <c r="N143" s="115" t="n"/>
      <c r="O143" s="115" t="n"/>
      <c r="P143" s="115" t="n"/>
      <c r="Q143" s="115" t="n"/>
      <c r="R143" s="126" t="n"/>
      <c r="S143" s="115" t="n"/>
      <c r="T143" s="115" t="n"/>
      <c r="U143" s="115" t="n"/>
      <c r="V143" s="115" t="n"/>
      <c r="W143" s="126" t="n"/>
    </row>
    <row r="144">
      <c r="A144" s="115" t="inlineStr">
        <is>
          <t>Veldoria</t>
        </is>
      </c>
      <c r="B144" s="115" t="inlineStr">
        <is>
          <t>Veldoria</t>
        </is>
      </c>
      <c r="C144" s="115" t="inlineStr">
        <is>
          <t>Only on map</t>
        </is>
      </c>
      <c r="D144" s="115" t="n"/>
      <c r="E144" s="115" t="n"/>
      <c r="F144" s="115" t="n"/>
      <c r="G144" s="115" t="inlineStr">
        <is>
          <t>Vertia</t>
        </is>
      </c>
      <c r="H144" s="115" t="n"/>
      <c r="I144" s="115" t="n"/>
      <c r="J144" s="115" t="n"/>
      <c r="K144" s="115" t="n"/>
      <c r="L144" s="115" t="n"/>
      <c r="M144" s="126" t="n"/>
      <c r="N144" s="115" t="n"/>
      <c r="O144" s="115" t="n"/>
      <c r="P144" s="115" t="n"/>
      <c r="Q144" s="115" t="n"/>
      <c r="R144" s="126" t="n"/>
      <c r="S144" s="115" t="n"/>
      <c r="T144" s="115" t="n"/>
      <c r="U144" s="115" t="n"/>
      <c r="V144" s="115" t="n"/>
      <c r="W144" s="126" t="n"/>
    </row>
    <row r="145">
      <c r="A145" s="115" t="inlineStr">
        <is>
          <t>Westland</t>
        </is>
      </c>
      <c r="B145" s="115" t="inlineStr">
        <is>
          <t>Westland</t>
        </is>
      </c>
      <c r="C145" s="115" t="inlineStr">
        <is>
          <t>Only on map</t>
        </is>
      </c>
      <c r="D145" s="115" t="n"/>
      <c r="E145" s="115" t="n"/>
      <c r="F145" s="115" t="n"/>
      <c r="G145" s="115" t="inlineStr">
        <is>
          <t>Ballylomasna</t>
        </is>
      </c>
      <c r="H145" s="115" t="n"/>
      <c r="I145" s="115" t="n"/>
      <c r="J145" s="115" t="n"/>
      <c r="K145" s="115" t="n"/>
      <c r="L145" s="115" t="n"/>
      <c r="M145" s="126" t="n"/>
      <c r="N145" s="115" t="n"/>
      <c r="O145" s="115" t="n"/>
      <c r="P145" s="115" t="n"/>
      <c r="Q145" s="115" t="n"/>
      <c r="R145" s="126" t="n"/>
      <c r="S145" s="115" t="n"/>
      <c r="T145" s="115" t="n"/>
      <c r="U145" s="115" t="n"/>
      <c r="V145" s="115" t="n"/>
      <c r="W145" s="126" t="n"/>
    </row>
  </sheetData>
  <autoFilter ref="A15:W1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2026-09-28T14:15:20Z</dcterms:created>
  <dcterms:modified xmlns:dcterms="http://purl.org/dc/terms/" xmlns:xsi="http://www.w3.org/2001/XMLSchema-instance" xsi:type="dcterms:W3CDTF">2026-09-28T14:15:20Z</dcterms:modified>
</cp:coreProperties>
</file>